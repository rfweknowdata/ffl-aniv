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ferrolho/Downloads/FFL/"/>
    </mc:Choice>
  </mc:AlternateContent>
  <xr:revisionPtr revIDLastSave="0" documentId="13_ncr:1_{42ECC70B-4C8D-2D45-A3C8-7C0668DE6193}" xr6:coauthVersionLast="47" xr6:coauthVersionMax="47" xr10:uidLastSave="{00000000-0000-0000-0000-000000000000}"/>
  <bookViews>
    <workbookView xWindow="0" yWindow="760" windowWidth="29080" windowHeight="18000" activeTab="1" xr2:uid="{00000000-000D-0000-FFFF-FFFF00000000}"/>
  </bookViews>
  <sheets>
    <sheet name="Base Dados Sócios Efetivos " sheetId="6" r:id="rId1"/>
    <sheet name="Sheet1" sheetId="7" r:id="rId2"/>
    <sheet name=" Sócios Efetivos Social " sheetId="5" r:id="rId3"/>
  </sheets>
  <definedNames>
    <definedName name="_xlnm.Print_Area" localSheetId="2">' Sócios Efetivos Social '!$A$1:$F$139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1" i="6" l="1"/>
  <c r="K48" i="6"/>
  <c r="K123" i="6"/>
  <c r="K86" i="6"/>
  <c r="K38" i="6"/>
  <c r="K111" i="6"/>
  <c r="K124" i="6"/>
  <c r="K125" i="6"/>
  <c r="K98" i="6"/>
  <c r="K54" i="6"/>
  <c r="K14" i="6"/>
  <c r="K58" i="6"/>
  <c r="K10" i="6"/>
  <c r="K64" i="6"/>
  <c r="K103" i="6"/>
  <c r="K76" i="6"/>
  <c r="K29" i="6"/>
  <c r="K126" i="6"/>
  <c r="K127" i="6"/>
  <c r="K50" i="6"/>
  <c r="K51" i="6"/>
  <c r="K33" i="6"/>
  <c r="K128" i="6"/>
  <c r="K21" i="6"/>
  <c r="K129" i="6"/>
  <c r="K61" i="6"/>
  <c r="K130" i="6"/>
  <c r="K108" i="6"/>
  <c r="K24" i="6"/>
  <c r="K60" i="6"/>
  <c r="K15" i="6"/>
  <c r="K49" i="6"/>
  <c r="K131" i="6"/>
  <c r="K81" i="6"/>
  <c r="K18" i="6"/>
  <c r="K119" i="6"/>
  <c r="K122" i="6"/>
  <c r="K99" i="6"/>
  <c r="K16" i="6"/>
  <c r="K28" i="6"/>
  <c r="K132" i="6"/>
  <c r="K109" i="6"/>
  <c r="K101" i="6"/>
  <c r="K52" i="6"/>
  <c r="K88" i="6"/>
  <c r="K56" i="6"/>
  <c r="K66" i="6"/>
  <c r="K62" i="6"/>
  <c r="K67" i="6"/>
  <c r="K133" i="6"/>
  <c r="K121" i="6"/>
  <c r="K118" i="6"/>
  <c r="K44" i="6"/>
  <c r="K41" i="6"/>
  <c r="K134" i="6"/>
  <c r="K23" i="6"/>
  <c r="K120" i="6"/>
  <c r="K68" i="6"/>
  <c r="K55" i="6"/>
  <c r="K27" i="6"/>
  <c r="K107" i="6"/>
  <c r="K36" i="6"/>
  <c r="K110" i="6"/>
  <c r="K25" i="6"/>
  <c r="K57" i="6"/>
  <c r="K73" i="6"/>
  <c r="K17" i="6"/>
  <c r="K37" i="6"/>
  <c r="K70" i="6"/>
  <c r="K89" i="6"/>
  <c r="K104" i="6"/>
  <c r="K42" i="6"/>
  <c r="K135" i="6"/>
  <c r="K59" i="6"/>
  <c r="K69" i="6"/>
  <c r="K9" i="6"/>
  <c r="K3" i="6"/>
  <c r="K92" i="6"/>
  <c r="K105" i="6"/>
  <c r="K136" i="6"/>
  <c r="K75" i="6"/>
  <c r="K65" i="6"/>
  <c r="K30" i="6"/>
  <c r="K32" i="6"/>
  <c r="K53" i="6"/>
  <c r="K20" i="6"/>
  <c r="K137" i="6"/>
  <c r="K6" i="6"/>
  <c r="K39" i="6"/>
  <c r="K138" i="6"/>
  <c r="K45" i="6"/>
  <c r="K19" i="6"/>
  <c r="K113" i="6"/>
  <c r="K78" i="6"/>
  <c r="K80" i="6"/>
  <c r="K100" i="6"/>
  <c r="K139" i="6"/>
  <c r="K46" i="6"/>
  <c r="K13" i="6"/>
  <c r="K40" i="6"/>
  <c r="K77" i="6"/>
  <c r="K35" i="6"/>
  <c r="K87" i="6"/>
  <c r="K115" i="6"/>
  <c r="K116" i="6"/>
  <c r="K31" i="6"/>
  <c r="K90" i="6"/>
  <c r="K114" i="6"/>
  <c r="K140" i="6"/>
  <c r="K72" i="6"/>
  <c r="K93" i="6"/>
  <c r="K12" i="6"/>
  <c r="K26" i="6"/>
  <c r="K82" i="6"/>
  <c r="K71" i="6"/>
  <c r="K7" i="6"/>
  <c r="K34" i="6"/>
  <c r="K11" i="6"/>
  <c r="K74" i="6"/>
  <c r="K63" i="6"/>
  <c r="K95" i="6"/>
  <c r="K8" i="6"/>
  <c r="K4" i="6"/>
  <c r="K79" i="6"/>
  <c r="K141" i="6"/>
  <c r="K83" i="6"/>
  <c r="K84" i="6"/>
  <c r="K102" i="6"/>
  <c r="K43" i="6"/>
  <c r="K5" i="6"/>
  <c r="K117" i="6"/>
  <c r="K22" i="6"/>
  <c r="K106" i="6"/>
  <c r="K94" i="6"/>
  <c r="K142" i="6"/>
  <c r="K47" i="6"/>
  <c r="K96" i="6"/>
  <c r="K85" i="6"/>
  <c r="K112" i="6"/>
  <c r="K97" i="6"/>
  <c r="J91" i="6"/>
  <c r="J48" i="6"/>
  <c r="J123" i="6"/>
  <c r="J86" i="6"/>
  <c r="J38" i="6"/>
  <c r="J111" i="6"/>
  <c r="J124" i="6"/>
  <c r="J125" i="6"/>
  <c r="J98" i="6"/>
  <c r="J54" i="6"/>
  <c r="J14" i="6"/>
  <c r="J58" i="6"/>
  <c r="J10" i="6"/>
  <c r="J64" i="6"/>
  <c r="J103" i="6"/>
  <c r="J76" i="6"/>
  <c r="J29" i="6"/>
  <c r="J126" i="6"/>
  <c r="J127" i="6"/>
  <c r="J50" i="6"/>
  <c r="J51" i="6"/>
  <c r="J33" i="6"/>
  <c r="J128" i="6"/>
  <c r="J21" i="6"/>
  <c r="J129" i="6"/>
  <c r="J61" i="6"/>
  <c r="J130" i="6"/>
  <c r="J108" i="6"/>
  <c r="J24" i="6"/>
  <c r="J60" i="6"/>
  <c r="J15" i="6"/>
  <c r="J49" i="6"/>
  <c r="J131" i="6"/>
  <c r="J81" i="6"/>
  <c r="J18" i="6"/>
  <c r="J119" i="6"/>
  <c r="J122" i="6"/>
  <c r="J99" i="6"/>
  <c r="J16" i="6"/>
  <c r="J28" i="6"/>
  <c r="J132" i="6"/>
  <c r="J109" i="6"/>
  <c r="J101" i="6"/>
  <c r="J52" i="6"/>
  <c r="J88" i="6"/>
  <c r="J56" i="6"/>
  <c r="J66" i="6"/>
  <c r="J62" i="6"/>
  <c r="J67" i="6"/>
  <c r="J133" i="6"/>
  <c r="J121" i="6"/>
  <c r="J118" i="6"/>
  <c r="J44" i="6"/>
  <c r="J41" i="6"/>
  <c r="J134" i="6"/>
  <c r="J23" i="6"/>
  <c r="J120" i="6"/>
  <c r="J68" i="6"/>
  <c r="J55" i="6"/>
  <c r="J27" i="6"/>
  <c r="J107" i="6"/>
  <c r="J36" i="6"/>
  <c r="J110" i="6"/>
  <c r="J25" i="6"/>
  <c r="J57" i="6"/>
  <c r="J73" i="6"/>
  <c r="J17" i="6"/>
  <c r="J37" i="6"/>
  <c r="J70" i="6"/>
  <c r="J89" i="6"/>
  <c r="J104" i="6"/>
  <c r="J42" i="6"/>
  <c r="J135" i="6"/>
  <c r="J59" i="6"/>
  <c r="J69" i="6"/>
  <c r="J9" i="6"/>
  <c r="J3" i="6"/>
  <c r="J92" i="6"/>
  <c r="J105" i="6"/>
  <c r="J136" i="6"/>
  <c r="J75" i="6"/>
  <c r="J65" i="6"/>
  <c r="J30" i="6"/>
  <c r="J32" i="6"/>
  <c r="J53" i="6"/>
  <c r="J20" i="6"/>
  <c r="J137" i="6"/>
  <c r="J6" i="6"/>
  <c r="J39" i="6"/>
  <c r="J138" i="6"/>
  <c r="J45" i="6"/>
  <c r="J19" i="6"/>
  <c r="J113" i="6"/>
  <c r="J78" i="6"/>
  <c r="J80" i="6"/>
  <c r="J100" i="6"/>
  <c r="J139" i="6"/>
  <c r="J46" i="6"/>
  <c r="J13" i="6"/>
  <c r="J40" i="6"/>
  <c r="J77" i="6"/>
  <c r="J35" i="6"/>
  <c r="J87" i="6"/>
  <c r="J115" i="6"/>
  <c r="J116" i="6"/>
  <c r="J31" i="6"/>
  <c r="J90" i="6"/>
  <c r="J114" i="6"/>
  <c r="J140" i="6"/>
  <c r="J72" i="6"/>
  <c r="J93" i="6"/>
  <c r="J12" i="6"/>
  <c r="J26" i="6"/>
  <c r="J82" i="6"/>
  <c r="J71" i="6"/>
  <c r="J7" i="6"/>
  <c r="J34" i="6"/>
  <c r="J11" i="6"/>
  <c r="J74" i="6"/>
  <c r="J63" i="6"/>
  <c r="J95" i="6"/>
  <c r="J8" i="6"/>
  <c r="J4" i="6"/>
  <c r="J79" i="6"/>
  <c r="J141" i="6"/>
  <c r="J83" i="6"/>
  <c r="J84" i="6"/>
  <c r="J102" i="6"/>
  <c r="J43" i="6"/>
  <c r="J5" i="6"/>
  <c r="J117" i="6"/>
  <c r="J22" i="6"/>
  <c r="J106" i="6"/>
  <c r="J94" i="6"/>
  <c r="J142" i="6"/>
  <c r="J47" i="6"/>
  <c r="J96" i="6"/>
  <c r="J85" i="6"/>
  <c r="J112" i="6"/>
  <c r="J97" i="6"/>
</calcChain>
</file>

<file path=xl/sharedStrings.xml><?xml version="1.0" encoding="utf-8"?>
<sst xmlns="http://schemas.openxmlformats.org/spreadsheetml/2006/main" count="1173" uniqueCount="371">
  <si>
    <t>NOME</t>
  </si>
  <si>
    <t>ABRAÃO BARROS TAVARES</t>
  </si>
  <si>
    <t>ALBERTO OLIVEIRA ROCHA</t>
  </si>
  <si>
    <t xml:space="preserve">ALÍPIO MANUEL SILVA RIBEIRO </t>
  </si>
  <si>
    <t>ANA CRISTINA SITIMA PEREIRA</t>
  </si>
  <si>
    <t>ANA LEONOR HENRIQUES COSTA FELICIO</t>
  </si>
  <si>
    <t>ANA LÚCIA SANTOS LACERDA DE SOUTO ANREADE</t>
  </si>
  <si>
    <t xml:space="preserve">ANA MARIA CONCEIÇÃO SILVANO RODRIGUES </t>
  </si>
  <si>
    <t xml:space="preserve">ANA MARIA COSTA ALVES SIMÕES DA SILVA </t>
  </si>
  <si>
    <t>ANA MARIA NOGUEIRA DE MOURA</t>
  </si>
  <si>
    <t>ANA MARIA RIBEIRO RODRIGUES NEVES CIDRA</t>
  </si>
  <si>
    <t>ANABELA RODRIGUES OLIVEIRA ESTEVÃO</t>
  </si>
  <si>
    <t>ARMÉNIA AUGUSTA VITORINO DE CASTRO</t>
  </si>
  <si>
    <t>BRENDA NATÁLIA TORREZ CORREIA</t>
  </si>
  <si>
    <t xml:space="preserve">CARINA ISABEL SANTOS FERREIRA </t>
  </si>
  <si>
    <t>CARLOS ALBERTO GONÇALVES RODRIGUES</t>
  </si>
  <si>
    <t>CARLOS LUIS MOREIRA AGUIAR</t>
  </si>
  <si>
    <t>CATARINA BENVINDA CONSTANTINO AGUIAR</t>
  </si>
  <si>
    <t>CLÁUDIA ALEXANDRA BRÁS FONSECA</t>
  </si>
  <si>
    <t>CRISTINA CLÁUDIA AGUIAR CABRAL</t>
  </si>
  <si>
    <t>DÉBORA MARGARIDA SANTOS NUNES</t>
  </si>
  <si>
    <t>EDUINO SENHORINA BRITO</t>
  </si>
  <si>
    <t>ELISA NASCIMENTO MARQUES</t>
  </si>
  <si>
    <t>EUGÉNIO MANUEL ALMEIDA VIOLANTE</t>
  </si>
  <si>
    <t>EUNICE FREITAS SPINOLA DE CASTRO</t>
  </si>
  <si>
    <t>EUNICE REGINA CONSTANTINO AGUIAR</t>
  </si>
  <si>
    <t>FILIPA JOANA FERREIRA LOPES DO ROSÁRIO</t>
  </si>
  <si>
    <t>FILIPE ALEXANDRE PIRES LOPES</t>
  </si>
  <si>
    <t>FLORIPES COSTA MIRANDA</t>
  </si>
  <si>
    <t>FRANCISCA GASPAR ALVES MOREIRA</t>
  </si>
  <si>
    <t>HELENA ALEXANDRE GAUDÊNCIO LUÍS</t>
  </si>
  <si>
    <t>HELENA ISABEL CANDEIAS  SILVA SANTOS</t>
  </si>
  <si>
    <t>HENRIQUE REBELO GONÇALVES</t>
  </si>
  <si>
    <t>HORÁCIO SANTOS FERREIRA</t>
  </si>
  <si>
    <t>ILDA MARQUES SANTOS LUIS</t>
  </si>
  <si>
    <t>ILVA MARIA CUNHA SANTOS LACERDA DE SOUTO ANREADE</t>
  </si>
  <si>
    <t>ISABEL CONCEIÇÃO SIMÕES AGUIAR</t>
  </si>
  <si>
    <t>ISABEL MARIA ANDRADE SILVEIRINHA SILVA</t>
  </si>
  <si>
    <t>ISABEL MARIA GONÇALVES MONTEIRO</t>
  </si>
  <si>
    <t>ISABEL MARIA PASSEIRA RUSSO NEVES</t>
  </si>
  <si>
    <t>ISABEL RUTE SILVA ACHANDO JESUS SILVA</t>
  </si>
  <si>
    <t>JOÃO MANUEL LOBO TAVARES CORREIA</t>
  </si>
  <si>
    <t>JOÃO MIGUEL RODRIGUES DO CARMO</t>
  </si>
  <si>
    <t>JOAQUIM FILIPE DUARTE TORRES</t>
  </si>
  <si>
    <t>JOAQUINA PEREIRA PINHEIRO SANTOS ANTUNES</t>
  </si>
  <si>
    <t>JOAQUINA RITA PICAMILHO BREJO RUSSO</t>
  </si>
  <si>
    <t>JORGE MANUEL LOPES DOS SANTOS</t>
  </si>
  <si>
    <t>JORGE SILVA VICENTE</t>
  </si>
  <si>
    <t>JOSÉ MANUEL BORGES MONTEIRO</t>
  </si>
  <si>
    <t>JOSÉ SILVANO MARTINS PAIVA</t>
  </si>
  <si>
    <t>LUIS BALTAZAR SIMÕES RIBEIRO</t>
  </si>
  <si>
    <t>LUIS MANUEL TRINDADE MENDES</t>
  </si>
  <si>
    <t>MANUEL JOAQUIM SOUTO ANREADE</t>
  </si>
  <si>
    <t xml:space="preserve">MARCO PAULO VICÊNCIO SANTOS </t>
  </si>
  <si>
    <t xml:space="preserve">MARGARIDA MARIA CASTANHO RIÇO </t>
  </si>
  <si>
    <t>MARIA ADÉLIA PIRES LOPES</t>
  </si>
  <si>
    <t>MARIA ADOSINDA CRUZ SILVA PEREIRA</t>
  </si>
  <si>
    <t>MARIA ALICE SILVA RAFAEL</t>
  </si>
  <si>
    <t>MARIA AUGUSTA CORREIA ALVES</t>
  </si>
  <si>
    <t xml:space="preserve">MARIA CARMO JESUS SUBTIL </t>
  </si>
  <si>
    <t>MARIA CARMO MIRA TRIGUEIROS SAMPAIO</t>
  </si>
  <si>
    <t>MARIA CELESTE FERNANDES NEVES</t>
  </si>
  <si>
    <t>MARIA DÁLIA SANTOS PINTO</t>
  </si>
  <si>
    <t>MARIA DULCE CALADO SILVA</t>
  </si>
  <si>
    <t>MARIA ELVIRA CABRAL LOBO CORREIA</t>
  </si>
  <si>
    <t xml:space="preserve">MARIA FÁTIMA SILVA SANTOS </t>
  </si>
  <si>
    <t>MARIA HELENA SOUSA RAPOSO</t>
  </si>
  <si>
    <t>MARIA ISABEL BRITO ALVES GIMENEZ CARRASQUEIRO</t>
  </si>
  <si>
    <t xml:space="preserve">MARIA JOÃO SANCHES ANDRÉ </t>
  </si>
  <si>
    <t xml:space="preserve">MARIA LUISA PÓLVORA CARDOSO JUSTA ROMÃO </t>
  </si>
  <si>
    <t xml:space="preserve">MARIA MADALENA CALDEIRA </t>
  </si>
  <si>
    <t>MARIA ODETE MARQUES PINHEIRO CAETANO</t>
  </si>
  <si>
    <t>MARIA OLIVEIRA PIRES JANEIRO</t>
  </si>
  <si>
    <t>MARIA PAULA ANASTÁCIO GONÇALVES</t>
  </si>
  <si>
    <t>MARIA ROSA MIRANDA DE ALMEIDA</t>
  </si>
  <si>
    <t>MARIA RUTE MORENO</t>
  </si>
  <si>
    <t>MARIA TERESA COSTA HENRIQUES FELICIO</t>
  </si>
  <si>
    <t>MÁRIO JOSÉ CABRAL SILVA SANTOS</t>
  </si>
  <si>
    <t>MARTA ISABEL COELHO HORTA</t>
  </si>
  <si>
    <t>MARTA MARIA MONTEIRO</t>
  </si>
  <si>
    <t xml:space="preserve">MERCÊS MARIA GAMA COSTEIRA </t>
  </si>
  <si>
    <t>MÓNICA VANESSA SEPULVEDA BAIÃO LOUREIRO</t>
  </si>
  <si>
    <t>NÁDIA ALEXANDRA PINTO CARVALHO</t>
  </si>
  <si>
    <t>NAIR DO NASCIMENTO FERREIRA</t>
  </si>
  <si>
    <t>NARCISO ANJOS ROBALO BORGES</t>
  </si>
  <si>
    <t>NATÁLIA SOFIA FATELA MONTEIRO</t>
  </si>
  <si>
    <t>NUNO ALEXANDRE SILVA LOURO</t>
  </si>
  <si>
    <t>ORESTES SILVA DE CARVALHO  FONSECA</t>
  </si>
  <si>
    <t>PATRICIA ISABEL LIMA BRITO</t>
  </si>
  <si>
    <t>PAULO JORGE ALMEIDA CABRAL</t>
  </si>
  <si>
    <t>RICARDO JORGE DA COSTA SILVA</t>
  </si>
  <si>
    <t>ROSA IRENE RODRIGUES ALMEIDA</t>
  </si>
  <si>
    <t>ROSÁLIA AUGUSTA VITORINO</t>
  </si>
  <si>
    <t xml:space="preserve">ROSANGELA AIRES ROCHA </t>
  </si>
  <si>
    <t xml:space="preserve">RUI PAULO RAMALHO INÊS </t>
  </si>
  <si>
    <t>SANDRA CRISTINA FATELA LUIS OLIMPIO</t>
  </si>
  <si>
    <t xml:space="preserve">SUSANA CRISTINA CASALTA FERREIRA SEVERINO </t>
  </si>
  <si>
    <t>TÂNIA FLORBELA PINTO CARVALHO</t>
  </si>
  <si>
    <t>TERESA MANUELA CORREIA PAIVA</t>
  </si>
  <si>
    <t>ZULMIRA MARIA LOPES LONGUINHO</t>
  </si>
  <si>
    <t>NIF</t>
  </si>
  <si>
    <t>Contacto</t>
  </si>
  <si>
    <t>E-mail</t>
  </si>
  <si>
    <t>abraaott@gmail.com</t>
  </si>
  <si>
    <t>alipio@decorsofas.pt</t>
  </si>
  <si>
    <t>alicesilvarafael@gmail.com</t>
  </si>
  <si>
    <t>26511@live.com.pt</t>
  </si>
  <si>
    <t>mteresafelicio@hotmail.com</t>
  </si>
  <si>
    <t>anamcidra@sapo.pt</t>
  </si>
  <si>
    <t>brendatcorreia@gmail.com</t>
  </si>
  <si>
    <t>carlarg23@hotmail.com</t>
  </si>
  <si>
    <t>carlosagrodrigues@gmail.com</t>
  </si>
  <si>
    <t>carlosaguiar683@gmail.com</t>
  </si>
  <si>
    <t>cclaudia@lnec.pt</t>
  </si>
  <si>
    <t>nunesdeborah7@hotmail.com</t>
  </si>
  <si>
    <t>eduinosdebrito@gmail.com</t>
  </si>
  <si>
    <t>avobetty@gmail.com</t>
  </si>
  <si>
    <t>ELISABETE ANDRADE LIMA DE BRITO</t>
  </si>
  <si>
    <t>euniceaguiar197@gmail.com</t>
  </si>
  <si>
    <t>filipajoana.joana@outlook.com</t>
  </si>
  <si>
    <t>filipeaplopes@gmail.com</t>
  </si>
  <si>
    <t>floripes.flor@gmail.com</t>
  </si>
  <si>
    <t>helena3476@gmail.com</t>
  </si>
  <si>
    <t>horacio.sferreira@gmail.com</t>
  </si>
  <si>
    <t>isabel.s.aguiar@gmail.com</t>
  </si>
  <si>
    <t>isabel.silveirinha@hotmail.com</t>
  </si>
  <si>
    <t>imgmonteiro4@gmail.com</t>
  </si>
  <si>
    <t>irsilvaachando@gmail.com</t>
  </si>
  <si>
    <t>ISABEL TERESA ROBALO FATELA MONTEIRO (S. Ben)</t>
  </si>
  <si>
    <t>jmcurator@gmail.com</t>
  </si>
  <si>
    <t>joaomrcarmo@gmail.com</t>
  </si>
  <si>
    <t>quinaantunes@hotmail.com</t>
  </si>
  <si>
    <t>jorgelopes.santos@hotmail.com</t>
  </si>
  <si>
    <t>jorgevicente@vidreira.pt</t>
  </si>
  <si>
    <t>josembmonteiro@gmail.com</t>
  </si>
  <si>
    <t>jose.paiva@luxeditions.lu</t>
  </si>
  <si>
    <t>baltazar_queenlabs@hotmail.com</t>
  </si>
  <si>
    <t>luis.manuel1967@hotmail.com</t>
  </si>
  <si>
    <t>luis.jeronimo@gmail.com</t>
  </si>
  <si>
    <t>MANUEL JOSÉ FERREIRA (S. Ben)</t>
  </si>
  <si>
    <t>henrybelo78@gmail.com</t>
  </si>
  <si>
    <t>isildajeronimo@hotmail.com</t>
  </si>
  <si>
    <t>mferreira@vestiprotege.pt</t>
  </si>
  <si>
    <t>madalenacaldeira1958@gmail.com</t>
  </si>
  <si>
    <t>shapyh1960@gmail.com</t>
  </si>
  <si>
    <t>mx@manuelaxavier.com</t>
  </si>
  <si>
    <t>mpag2@sapo.pt</t>
  </si>
  <si>
    <t>adosinda2401@gmail.com</t>
  </si>
  <si>
    <t>celeste_neves@hotmail.com</t>
  </si>
  <si>
    <t>MARIA ANJOS ALVES RODRIGUES COSTA MENDES</t>
  </si>
  <si>
    <t xml:space="preserve">MARIA CONCEIÇÃO ROBALO FATELA </t>
  </si>
  <si>
    <t>mariaalvesmendes336@gmail.com</t>
  </si>
  <si>
    <t>MARIA CLARA GEADA JERÓNIMO</t>
  </si>
  <si>
    <t>claragjeronimo@gmail.com</t>
  </si>
  <si>
    <t>mariadaliapinto@hotmail.com</t>
  </si>
  <si>
    <t>mariadulce.cs@gmail.com</t>
  </si>
  <si>
    <t>rahar.fraterna@gmail.com</t>
  </si>
  <si>
    <t>fatima.ss@outlook.pt</t>
  </si>
  <si>
    <t>fcmvidal@gmail.com</t>
  </si>
  <si>
    <t>MARIA ISABEL SEABRA SOARES ALMEIDA</t>
  </si>
  <si>
    <t>aronzah@gmail.com</t>
  </si>
  <si>
    <t>MARIA JOSÉ FLORINDO SEVERINO (s. Ben)</t>
  </si>
  <si>
    <t>MARIA LURDES GRAÇA FERREIRA</t>
  </si>
  <si>
    <t>lurdesgrferreira@gmail.com</t>
  </si>
  <si>
    <t>mario3413@gmail.com</t>
  </si>
  <si>
    <t>marta.escutate@gmail.com</t>
  </si>
  <si>
    <t>shamuhh@gmail.com</t>
  </si>
  <si>
    <t>narciso.borges@gmail.com</t>
  </si>
  <si>
    <t>pdebrito@gmail.com</t>
  </si>
  <si>
    <t>paulojcabral@gmail.com</t>
  </si>
  <si>
    <t>pjluis@gmail.com</t>
  </si>
  <si>
    <t>ricardo_s79@hotmail.com</t>
  </si>
  <si>
    <t>rosangelaires@gmail.com</t>
  </si>
  <si>
    <t>sandraluisolimpio@gmail.com</t>
  </si>
  <si>
    <t>teresapaiva1@sapo.pt</t>
  </si>
  <si>
    <t>zulmiralonguinho@gmail.com</t>
  </si>
  <si>
    <t>ADILIA FERNANDA MARIA FOLHAS FERREIRA (S Ben.)</t>
  </si>
  <si>
    <t>ISILDA FRANCO VIEIRA JERÓNIMO</t>
  </si>
  <si>
    <t>MARCO FILIPE MIRANDA MASCATE SOUSA ALMEIDA</t>
  </si>
  <si>
    <t>MARIA ELVIRA DIAS DO DO NASCIMENTO</t>
  </si>
  <si>
    <t>anaharael@live.com.pt</t>
  </si>
  <si>
    <t>eugenio.violante@gmail.com</t>
  </si>
  <si>
    <t>FERNANDA DA CONCEIÇÃO MATIAS VIDAL</t>
  </si>
  <si>
    <t>jtorres83@gmail.com</t>
  </si>
  <si>
    <t>LUÍS FILIPE SANTOS JERÓNIMO</t>
  </si>
  <si>
    <t>marcovicencio@gmail.com</t>
  </si>
  <si>
    <t>mayataa@hotmail.com</t>
  </si>
  <si>
    <t>mercesgama7@gmail.com</t>
  </si>
  <si>
    <t>????</t>
  </si>
  <si>
    <t>???</t>
  </si>
  <si>
    <t>susana@decorsofas.pt</t>
  </si>
  <si>
    <t>ANA LUÍSA GASPAR MASCATE DE SOUSA ALMEIDA</t>
  </si>
  <si>
    <t xml:space="preserve">DIANA SOFIA ALVES RODRIGUES </t>
  </si>
  <si>
    <t>dianaalves.r@hotmail.com</t>
  </si>
  <si>
    <t xml:space="preserve">DIOGO FERNANDO MARTINS SERRA </t>
  </si>
  <si>
    <t>diogo.fm.serra@gmail.com</t>
  </si>
  <si>
    <t xml:space="preserve">MARIA CONCEIÇÃO MARQUES RICARDO </t>
  </si>
  <si>
    <t>MARIA FÁTIMA HENRIQUES CARVALHO</t>
  </si>
  <si>
    <t>mariadefatimah57@gmail.com</t>
  </si>
  <si>
    <t>MARIA MARGARIDA CARLOS MARTINS SERRA</t>
  </si>
  <si>
    <t>m.margaridaserra@mail.telepac.pt</t>
  </si>
  <si>
    <t xml:space="preserve">PEDRO MIGUEL RAMALHO INÊS </t>
  </si>
  <si>
    <t xml:space="preserve">SARA INÊS PINHEIRO PIRES ANTUNES </t>
  </si>
  <si>
    <t>saraantunesipp2@gmail.com</t>
  </si>
  <si>
    <t xml:space="preserve">SANDRA ELISABETE E SILVA AFONSO RIBEIRO </t>
  </si>
  <si>
    <t>sandraafonso.ribeiro@gmail.com</t>
  </si>
  <si>
    <t>tania-fcarvalho@hotmail.com</t>
  </si>
  <si>
    <t xml:space="preserve">CARLA ALEXANDRA DE JESUS REBELO GONÇALVES </t>
  </si>
  <si>
    <t>moninovaes@gmail.com</t>
  </si>
  <si>
    <t>pmatospm68@gmail.com</t>
  </si>
  <si>
    <t xml:space="preserve">Data Aniversário </t>
  </si>
  <si>
    <t>15-01-1951</t>
  </si>
  <si>
    <t>marquesnaselisa@gmail.com</t>
  </si>
  <si>
    <t>29-03-1987</t>
  </si>
  <si>
    <t>16-03-1951</t>
  </si>
  <si>
    <t>12-03-1958</t>
  </si>
  <si>
    <t>11-03-1979</t>
  </si>
  <si>
    <t xml:space="preserve"> 29-04-1959</t>
  </si>
  <si>
    <t>02-04-1945</t>
  </si>
  <si>
    <t>14-05-1949</t>
  </si>
  <si>
    <t>18-05-1960</t>
  </si>
  <si>
    <t>04-05-1954</t>
  </si>
  <si>
    <t>29-05-1946</t>
  </si>
  <si>
    <t>17-05-1951</t>
  </si>
  <si>
    <t>27-07-1991</t>
  </si>
  <si>
    <t>NATÁLIA MOREIRA ROCHA</t>
  </si>
  <si>
    <t>03-06-1968</t>
  </si>
  <si>
    <t>08-10-1970</t>
  </si>
  <si>
    <t>10-08-1966</t>
  </si>
  <si>
    <t>14-08-1982</t>
  </si>
  <si>
    <t>23-09-1968</t>
  </si>
  <si>
    <t>20-09-1953</t>
  </si>
  <si>
    <t>22-09-1968</t>
  </si>
  <si>
    <t>29-09-1973</t>
  </si>
  <si>
    <t>12-09-1952</t>
  </si>
  <si>
    <t>22-09-1981</t>
  </si>
  <si>
    <t>11-10-1980</t>
  </si>
  <si>
    <t>21-10-1949</t>
  </si>
  <si>
    <t>24-10-1935</t>
  </si>
  <si>
    <t>25-10-1947</t>
  </si>
  <si>
    <t>26-10-1966</t>
  </si>
  <si>
    <t>10-11-1949</t>
  </si>
  <si>
    <t>17-11-1973</t>
  </si>
  <si>
    <t>30-11-1953</t>
  </si>
  <si>
    <t>07-12-1951</t>
  </si>
  <si>
    <t>09-12-1961</t>
  </si>
  <si>
    <t>13-12-1986</t>
  </si>
  <si>
    <t>25-12-1954</t>
  </si>
  <si>
    <t>30-12-1949</t>
  </si>
  <si>
    <t>09-04-1960</t>
  </si>
  <si>
    <t>Nome Místico</t>
  </si>
  <si>
    <t>RUI DIOGO FERROLHO SIMÕES</t>
  </si>
  <si>
    <t>BAHALIHÁ</t>
  </si>
  <si>
    <t>SADNAH</t>
  </si>
  <si>
    <t>DYTHYHÂ</t>
  </si>
  <si>
    <t xml:space="preserve"> LLYDHIMÁ</t>
  </si>
  <si>
    <t>URACHE</t>
  </si>
  <si>
    <t>ZANATTÂN</t>
  </si>
  <si>
    <t>GRUSMYHH</t>
  </si>
  <si>
    <t>DHYMITHOS</t>
  </si>
  <si>
    <t>SHYAHYTHYA</t>
  </si>
  <si>
    <t>SXYLHYHDHA</t>
  </si>
  <si>
    <t>XYSKANAM</t>
  </si>
  <si>
    <t>KYHAMALLY</t>
  </si>
  <si>
    <t>SAHYSHY</t>
  </si>
  <si>
    <t>SHLHYNTYN</t>
  </si>
  <si>
    <t>KAAMAMNA</t>
  </si>
  <si>
    <t>THERRADHYH</t>
  </si>
  <si>
    <t>INHANYHAH</t>
  </si>
  <si>
    <t>HASNYTHHYH</t>
  </si>
  <si>
    <t>TUVANAH</t>
  </si>
  <si>
    <t>THARYH</t>
  </si>
  <si>
    <t>DHASSHY</t>
  </si>
  <si>
    <t>AMINAGÁ</t>
  </si>
  <si>
    <t>DHYHMYTH</t>
  </si>
  <si>
    <t>TAMAHYH</t>
  </si>
  <si>
    <t>SAMYHRA</t>
  </si>
  <si>
    <t>TAAVALLÔ</t>
  </si>
  <si>
    <t>SHALLYMÃ</t>
  </si>
  <si>
    <t>TAALLIB</t>
  </si>
  <si>
    <t>SAWYDHAR</t>
  </si>
  <si>
    <t>THYFHAN</t>
  </si>
  <si>
    <t>DHYHYTÃ</t>
  </si>
  <si>
    <t>XYSSHAR</t>
  </si>
  <si>
    <t>DOHYHYH</t>
  </si>
  <si>
    <t>HABAHNY</t>
  </si>
  <si>
    <t>KÃLIMATÃ</t>
  </si>
  <si>
    <t>LLHYNAYH</t>
  </si>
  <si>
    <t>SYDHHA</t>
  </si>
  <si>
    <t>RAHAR</t>
  </si>
  <si>
    <t>DIVA</t>
  </si>
  <si>
    <t xml:space="preserve">TAMAAR </t>
  </si>
  <si>
    <t>ARONZAH</t>
  </si>
  <si>
    <t>LAODHYNNA</t>
  </si>
  <si>
    <t>SHAPYH</t>
  </si>
  <si>
    <t>DULCYONNI</t>
  </si>
  <si>
    <t>SAHA BELLY</t>
  </si>
  <si>
    <t>JAUNAH</t>
  </si>
  <si>
    <t>DHYSMAEL</t>
  </si>
  <si>
    <t>KALLYH</t>
  </si>
  <si>
    <t>SHYLHYAH</t>
  </si>
  <si>
    <t>SHAMUHH</t>
  </si>
  <si>
    <t>SABHATHÁ</t>
  </si>
  <si>
    <t>SHAATHYNAH</t>
  </si>
  <si>
    <t xml:space="preserve">RICARDO EMANUEL VIDAL LOPES </t>
  </si>
  <si>
    <t>SALFHYR</t>
  </si>
  <si>
    <t>DASHAUR</t>
  </si>
  <si>
    <t>LAHANI</t>
  </si>
  <si>
    <t>GRUSMMY</t>
  </si>
  <si>
    <t>SHYTHOFHA</t>
  </si>
  <si>
    <t>SALAAVHYA</t>
  </si>
  <si>
    <t xml:space="preserve"> KAARPHY</t>
  </si>
  <si>
    <t xml:space="preserve">Nº Sócio </t>
  </si>
  <si>
    <t xml:space="preserve">Não Lista Sócios </t>
  </si>
  <si>
    <t>TAHAMAH</t>
  </si>
  <si>
    <t>Sócio Recente</t>
  </si>
  <si>
    <t>?????</t>
  </si>
  <si>
    <t>???????</t>
  </si>
  <si>
    <t>carina.isabel.ferreira@gmail.com</t>
  </si>
  <si>
    <t xml:space="preserve">PAULO JORGE REGUEIRA MARQUES MATOS </t>
  </si>
  <si>
    <t>ruiferrolho@gmail.com</t>
  </si>
  <si>
    <t>ricardo.vidal.lopes@gmail.com</t>
  </si>
  <si>
    <t>ANDRÉ DE MELLO</t>
  </si>
  <si>
    <t>arq_andremello@hotmail.com</t>
  </si>
  <si>
    <t xml:space="preserve">MÓNICA NOVAES ESMANHOTTO </t>
  </si>
  <si>
    <t>Afastado</t>
  </si>
  <si>
    <t>MÁRIO WILSON CRUZ SOUSA MONTEIRO FERREIRA SILVA</t>
  </si>
  <si>
    <t xml:space="preserve">MÁRIO RUI NEVES CARONA </t>
  </si>
  <si>
    <t>Regressado</t>
  </si>
  <si>
    <t>HÉLIA MARIA ROCHA ALEIXO</t>
  </si>
  <si>
    <t>Base de Dados - Sócios Ativos a Abril 2026</t>
  </si>
  <si>
    <t xml:space="preserve">HANUBIA </t>
  </si>
  <si>
    <t xml:space="preserve">DAVID DA BABILÓNIA </t>
  </si>
  <si>
    <t>IDR deu nome dia 16-9-26</t>
  </si>
  <si>
    <t xml:space="preserve">Não está a pagar quotas </t>
  </si>
  <si>
    <t>Sócio Recente 2025</t>
  </si>
  <si>
    <t>Sócio Recente???</t>
  </si>
  <si>
    <t>PAULO MANUEL SILVA RAMOS</t>
  </si>
  <si>
    <t>paulodiramos@gmail.com</t>
  </si>
  <si>
    <t xml:space="preserve">JOSÉ CARLOS MARCÃO COSTA </t>
  </si>
  <si>
    <t>jcm.costa@gmail.com</t>
  </si>
  <si>
    <t>PEDRO MIGUEL ALVES RIBEIRO PINTO SANTOS</t>
  </si>
  <si>
    <t>pmarps@gmail.com</t>
  </si>
  <si>
    <t>caronamario19@gmail.com</t>
  </si>
  <si>
    <t>wilsonsousa@gmail.com</t>
  </si>
  <si>
    <t>CARINA FILIPA PEREIRA FONSECA</t>
  </si>
  <si>
    <t>carinafonseca26@gmail.com</t>
  </si>
  <si>
    <t>JORGE MANUEL MARTINS GUERREIRO</t>
  </si>
  <si>
    <t>SÓNIA CRISTINA SANTOS BATISTA</t>
  </si>
  <si>
    <t>scsb66@gmail.com</t>
  </si>
  <si>
    <t>Não tem</t>
  </si>
  <si>
    <t>vive USA</t>
  </si>
  <si>
    <t xml:space="preserve">PAPALUS </t>
  </si>
  <si>
    <t xml:space="preserve">Não tem </t>
  </si>
  <si>
    <t>14-01-19??</t>
  </si>
  <si>
    <t xml:space="preserve">Náo tem </t>
  </si>
  <si>
    <t>almascate@gmail.com</t>
  </si>
  <si>
    <t>01-02-19??</t>
  </si>
  <si>
    <t>19/02/19??</t>
  </si>
  <si>
    <t>SHALLYMMANAN</t>
  </si>
  <si>
    <t>g1967@sapo.pt</t>
  </si>
  <si>
    <t>17-05-?</t>
  </si>
  <si>
    <t>Não paga quotas até ter condições</t>
  </si>
  <si>
    <t>PAULO JORGE FATELA MARTINS LUÍS</t>
  </si>
  <si>
    <t>01/02/19??</t>
  </si>
  <si>
    <t>saudmas2019@gmail.com</t>
  </si>
  <si>
    <t>Obs</t>
  </si>
  <si>
    <t>Column1</t>
  </si>
  <si>
    <t>Mês</t>
  </si>
  <si>
    <t>Dia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</si>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</sst>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_€"/>
    <numFmt numFmtId="165" formatCode="dd\-mm\-yyyy;@"/>
    <numFmt numFmtId="166" formatCode="[$-816]d/mmm;@"/>
    <numFmt numFmtId="167" formatCode="###################"/>
    <numFmt numFmtId="168" formatCode="###############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8"/>
      <color theme="1"/>
      <name val="Century Gothic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entury Gothic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1"/>
      <name val="Century Gothic"/>
      <family val="2"/>
    </font>
    <font>
      <sz val="10"/>
      <name val="Arial"/>
      <family val="2"/>
    </font>
    <font>
      <sz val="10"/>
      <color theme="1"/>
      <name val="Arial"/>
      <family val="2"/>
    </font>
    <font>
      <sz val="24"/>
      <color theme="1"/>
      <name val="Calibri"/>
      <family val="2"/>
    </font>
    <font>
      <u/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u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name val="Century Gothic"/>
      <family val="2"/>
    </font>
    <font>
      <b/>
      <sz val="16"/>
      <name val="Arial"/>
      <family val="2"/>
    </font>
    <font>
      <sz val="16"/>
      <name val="Arial"/>
      <family val="2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EC5FF"/>
        <bgColor indexed="64"/>
      </patternFill>
    </fill>
    <fill>
      <patternFill patternType="solid">
        <fgColor rgb="FFC5FF8A"/>
        <bgColor indexed="64"/>
      </patternFill>
    </fill>
    <fill>
      <patternFill patternType="solid">
        <fgColor rgb="FFF7FF00"/>
        <bgColor indexed="64"/>
      </patternFill>
    </fill>
    <fill>
      <patternFill patternType="solid">
        <fgColor rgb="FFFFBD00"/>
        <bgColor indexed="64"/>
      </patternFill>
    </fill>
    <fill>
      <patternFill patternType="solid">
        <fgColor rgb="FF7CB8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79">
    <xf numFmtId="0" fontId="0" fillId="0" borderId="0" xfId="0"/>
    <xf numFmtId="0" fontId="11" fillId="0" borderId="0" xfId="0" applyFont="1"/>
    <xf numFmtId="164" fontId="10" fillId="2" borderId="1" xfId="2" applyNumberFormat="1" applyFont="1" applyFill="1" applyBorder="1" applyAlignment="1">
      <alignment horizontal="left"/>
    </xf>
    <xf numFmtId="164" fontId="10" fillId="2" borderId="1" xfId="0" applyNumberFormat="1" applyFont="1" applyFill="1" applyBorder="1" applyAlignment="1">
      <alignment horizontal="left"/>
    </xf>
    <xf numFmtId="3" fontId="10" fillId="0" borderId="1" xfId="0" applyNumberFormat="1" applyFont="1" applyBorder="1" applyAlignment="1">
      <alignment horizontal="left"/>
    </xf>
    <xf numFmtId="3" fontId="10" fillId="2" borderId="1" xfId="0" applyNumberFormat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3" fontId="7" fillId="0" borderId="1" xfId="0" applyNumberFormat="1" applyFont="1" applyBorder="1" applyAlignment="1">
      <alignment horizontal="left"/>
    </xf>
    <xf numFmtId="3" fontId="10" fillId="0" borderId="1" xfId="1" applyNumberFormat="1" applyFont="1" applyBorder="1" applyAlignment="1">
      <alignment horizontal="left"/>
    </xf>
    <xf numFmtId="165" fontId="11" fillId="2" borderId="1" xfId="2" applyNumberFormat="1" applyFont="1" applyFill="1" applyBorder="1" applyAlignment="1">
      <alignment horizontal="left"/>
    </xf>
    <xf numFmtId="165" fontId="10" fillId="0" borderId="1" xfId="0" applyNumberFormat="1" applyFont="1" applyBorder="1" applyAlignment="1">
      <alignment horizontal="left"/>
    </xf>
    <xf numFmtId="165" fontId="10" fillId="2" borderId="1" xfId="0" applyNumberFormat="1" applyFont="1" applyFill="1" applyBorder="1" applyAlignment="1">
      <alignment horizontal="left"/>
    </xf>
    <xf numFmtId="165" fontId="11" fillId="2" borderId="1" xfId="0" applyNumberFormat="1" applyFont="1" applyFill="1" applyBorder="1" applyAlignment="1">
      <alignment horizontal="left"/>
    </xf>
    <xf numFmtId="165" fontId="10" fillId="0" borderId="1" xfId="1" applyNumberFormat="1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0" fillId="2" borderId="0" xfId="0" applyFill="1"/>
    <xf numFmtId="165" fontId="10" fillId="2" borderId="1" xfId="1" applyNumberFormat="1" applyFont="1" applyFill="1" applyBorder="1" applyAlignment="1">
      <alignment horizontal="left"/>
    </xf>
    <xf numFmtId="164" fontId="10" fillId="2" borderId="1" xfId="3" applyNumberFormat="1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11" fillId="2" borderId="0" xfId="0" applyFont="1" applyFill="1"/>
    <xf numFmtId="165" fontId="11" fillId="0" borderId="1" xfId="0" applyNumberFormat="1" applyFont="1" applyBorder="1" applyAlignment="1">
      <alignment horizontal="left"/>
    </xf>
    <xf numFmtId="0" fontId="11" fillId="2" borderId="1" xfId="0" applyFont="1" applyFill="1" applyBorder="1"/>
    <xf numFmtId="0" fontId="19" fillId="0" borderId="1" xfId="3" applyFont="1" applyBorder="1" applyAlignment="1">
      <alignment horizontal="left"/>
    </xf>
    <xf numFmtId="0" fontId="11" fillId="0" borderId="1" xfId="0" applyFont="1" applyBorder="1"/>
    <xf numFmtId="165" fontId="10" fillId="0" borderId="1" xfId="0" applyNumberFormat="1" applyFont="1" applyBorder="1" applyAlignment="1">
      <alignment horizontal="left" wrapText="1"/>
    </xf>
    <xf numFmtId="165" fontId="10" fillId="2" borderId="1" xfId="0" applyNumberFormat="1" applyFont="1" applyFill="1" applyBorder="1" applyAlignment="1">
      <alignment horizontal="left" wrapText="1"/>
    </xf>
    <xf numFmtId="164" fontId="10" fillId="0" borderId="1" xfId="0" applyNumberFormat="1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9" fillId="2" borderId="1" xfId="3" applyFont="1" applyFill="1" applyBorder="1" applyAlignment="1">
      <alignment horizontal="left"/>
    </xf>
    <xf numFmtId="0" fontId="10" fillId="2" borderId="1" xfId="2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16" fontId="10" fillId="2" borderId="1" xfId="0" applyNumberFormat="1" applyFont="1" applyFill="1" applyBorder="1" applyAlignment="1">
      <alignment horizontal="left"/>
    </xf>
    <xf numFmtId="49" fontId="10" fillId="2" borderId="1" xfId="1" applyNumberFormat="1" applyFont="1" applyFill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10" fillId="2" borderId="1" xfId="0" applyFont="1" applyFill="1" applyBorder="1"/>
    <xf numFmtId="0" fontId="17" fillId="0" borderId="0" xfId="0" applyFont="1" applyAlignment="1">
      <alignment horizontal="left" vertical="center"/>
    </xf>
    <xf numFmtId="14" fontId="10" fillId="2" borderId="1" xfId="0" applyNumberFormat="1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14" fontId="10" fillId="2" borderId="1" xfId="1" applyNumberFormat="1" applyFont="1" applyFill="1" applyBorder="1" applyAlignment="1">
      <alignment horizontal="left"/>
    </xf>
    <xf numFmtId="166" fontId="10" fillId="2" borderId="1" xfId="0" applyNumberFormat="1" applyFont="1" applyFill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16" fillId="2" borderId="0" xfId="0" applyFont="1" applyFill="1"/>
    <xf numFmtId="0" fontId="17" fillId="0" borderId="0" xfId="0" applyFont="1"/>
    <xf numFmtId="0" fontId="20" fillId="0" borderId="1" xfId="0" applyFont="1" applyBorder="1" applyAlignment="1">
      <alignment horizontal="center" vertical="center" wrapText="1"/>
    </xf>
    <xf numFmtId="0" fontId="6" fillId="0" borderId="1" xfId="3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6" fillId="2" borderId="1" xfId="3" applyFill="1" applyBorder="1" applyAlignment="1">
      <alignment horizontal="left"/>
    </xf>
    <xf numFmtId="0" fontId="8" fillId="0" borderId="4" xfId="0" applyFont="1" applyBorder="1"/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8" fillId="0" borderId="3" xfId="0" applyFont="1" applyBorder="1"/>
    <xf numFmtId="0" fontId="23" fillId="2" borderId="1" xfId="0" applyFont="1" applyFill="1" applyBorder="1" applyAlignment="1">
      <alignment horizontal="left"/>
    </xf>
    <xf numFmtId="0" fontId="23" fillId="2" borderId="1" xfId="2" applyFont="1" applyFill="1" applyBorder="1" applyAlignment="1">
      <alignment horizontal="left"/>
    </xf>
    <xf numFmtId="165" fontId="8" fillId="2" borderId="1" xfId="2" applyNumberFormat="1" applyFont="1" applyFill="1" applyBorder="1" applyAlignment="1">
      <alignment horizontal="left"/>
    </xf>
    <xf numFmtId="0" fontId="23" fillId="2" borderId="1" xfId="0" applyFont="1" applyFill="1" applyBorder="1"/>
    <xf numFmtId="0" fontId="1" fillId="0" borderId="0" xfId="0" applyFont="1"/>
    <xf numFmtId="0" fontId="23" fillId="4" borderId="1" xfId="0" applyFont="1" applyFill="1" applyBorder="1" applyAlignment="1">
      <alignment horizontal="left"/>
    </xf>
    <xf numFmtId="0" fontId="24" fillId="4" borderId="1" xfId="3" applyFont="1" applyFill="1" applyBorder="1" applyAlignment="1">
      <alignment horizontal="left"/>
    </xf>
    <xf numFmtId="165" fontId="8" fillId="4" borderId="1" xfId="0" applyNumberFormat="1" applyFont="1" applyFill="1" applyBorder="1" applyAlignment="1">
      <alignment horizontal="left"/>
    </xf>
    <xf numFmtId="49" fontId="23" fillId="4" borderId="1" xfId="0" applyNumberFormat="1" applyFont="1" applyFill="1" applyBorder="1" applyAlignment="1">
      <alignment horizontal="left"/>
    </xf>
    <xf numFmtId="0" fontId="21" fillId="4" borderId="1" xfId="0" applyFont="1" applyFill="1" applyBorder="1"/>
    <xf numFmtId="0" fontId="23" fillId="0" borderId="1" xfId="0" applyFont="1" applyBorder="1" applyAlignment="1">
      <alignment horizontal="left"/>
    </xf>
    <xf numFmtId="165" fontId="8" fillId="2" borderId="1" xfId="0" applyNumberFormat="1" applyFont="1" applyFill="1" applyBorder="1" applyAlignment="1">
      <alignment horizontal="left"/>
    </xf>
    <xf numFmtId="0" fontId="23" fillId="0" borderId="1" xfId="0" applyFont="1" applyBorder="1" applyAlignment="1">
      <alignment horizontal="center" vertical="center"/>
    </xf>
    <xf numFmtId="14" fontId="23" fillId="2" borderId="1" xfId="0" applyNumberFormat="1" applyFont="1" applyFill="1" applyBorder="1" applyAlignment="1">
      <alignment horizontal="left"/>
    </xf>
    <xf numFmtId="0" fontId="8" fillId="4" borderId="1" xfId="2" applyFont="1" applyFill="1" applyBorder="1"/>
    <xf numFmtId="49" fontId="23" fillId="2" borderId="1" xfId="0" applyNumberFormat="1" applyFont="1" applyFill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 applyAlignment="1">
      <alignment horizontal="left" wrapText="1"/>
    </xf>
    <xf numFmtId="165" fontId="23" fillId="2" borderId="1" xfId="0" applyNumberFormat="1" applyFont="1" applyFill="1" applyBorder="1" applyAlignment="1">
      <alignment horizontal="left" wrapText="1"/>
    </xf>
    <xf numFmtId="0" fontId="23" fillId="4" borderId="1" xfId="2" applyFont="1" applyFill="1" applyBorder="1" applyAlignment="1">
      <alignment horizontal="left"/>
    </xf>
    <xf numFmtId="165" fontId="8" fillId="4" borderId="1" xfId="0" applyNumberFormat="1" applyFont="1" applyFill="1" applyBorder="1" applyAlignment="1">
      <alignment horizontal="left" wrapText="1"/>
    </xf>
    <xf numFmtId="165" fontId="23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165" fontId="8" fillId="2" borderId="1" xfId="0" applyNumberFormat="1" applyFont="1" applyFill="1" applyBorder="1" applyAlignment="1">
      <alignment horizontal="left" wrapText="1"/>
    </xf>
    <xf numFmtId="0" fontId="23" fillId="4" borderId="1" xfId="0" applyFont="1" applyFill="1" applyBorder="1"/>
    <xf numFmtId="165" fontId="8" fillId="0" borderId="1" xfId="1" applyNumberFormat="1" applyFont="1" applyBorder="1" applyAlignment="1">
      <alignment horizontal="left"/>
    </xf>
    <xf numFmtId="14" fontId="23" fillId="2" borderId="1" xfId="1" applyNumberFormat="1" applyFont="1" applyFill="1" applyBorder="1" applyAlignment="1">
      <alignment horizontal="left"/>
    </xf>
    <xf numFmtId="49" fontId="23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8" fillId="4" borderId="1" xfId="0" applyFont="1" applyFill="1" applyBorder="1" applyAlignment="1">
      <alignment horizontal="left"/>
    </xf>
    <xf numFmtId="49" fontId="23" fillId="2" borderId="1" xfId="1" applyNumberFormat="1" applyFont="1" applyFill="1" applyBorder="1" applyAlignment="1">
      <alignment horizontal="left"/>
    </xf>
    <xf numFmtId="0" fontId="23" fillId="4" borderId="0" xfId="0" applyFont="1" applyFill="1" applyAlignment="1">
      <alignment horizontal="left"/>
    </xf>
    <xf numFmtId="16" fontId="23" fillId="2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left"/>
    </xf>
    <xf numFmtId="0" fontId="8" fillId="4" borderId="1" xfId="0" applyFont="1" applyFill="1" applyBorder="1"/>
    <xf numFmtId="0" fontId="8" fillId="0" borderId="1" xfId="0" applyFont="1" applyBorder="1" applyAlignment="1">
      <alignment horizontal="left" vertical="center"/>
    </xf>
    <xf numFmtId="14" fontId="23" fillId="0" borderId="1" xfId="0" applyNumberFormat="1" applyFont="1" applyBorder="1" applyAlignment="1">
      <alignment horizontal="left"/>
    </xf>
    <xf numFmtId="0" fontId="8" fillId="2" borderId="1" xfId="2" applyFont="1" applyFill="1" applyBorder="1"/>
    <xf numFmtId="165" fontId="8" fillId="4" borderId="1" xfId="1" applyNumberFormat="1" applyFont="1" applyFill="1" applyBorder="1" applyAlignment="1">
      <alignment horizontal="left"/>
    </xf>
    <xf numFmtId="14" fontId="23" fillId="4" borderId="1" xfId="1" applyNumberFormat="1" applyFont="1" applyFill="1" applyBorder="1" applyAlignment="1">
      <alignment horizontal="left"/>
    </xf>
    <xf numFmtId="14" fontId="23" fillId="4" borderId="1" xfId="0" applyNumberFormat="1" applyFont="1" applyFill="1" applyBorder="1" applyAlignment="1">
      <alignment horizontal="left"/>
    </xf>
    <xf numFmtId="0" fontId="8" fillId="0" borderId="1" xfId="0" applyFont="1" applyBorder="1"/>
    <xf numFmtId="0" fontId="25" fillId="4" borderId="1" xfId="3" applyFont="1" applyFill="1" applyBorder="1" applyAlignment="1">
      <alignment horizontal="left"/>
    </xf>
    <xf numFmtId="165" fontId="8" fillId="4" borderId="1" xfId="2" applyNumberFormat="1" applyFont="1" applyFill="1" applyBorder="1" applyAlignment="1">
      <alignment horizontal="left"/>
    </xf>
    <xf numFmtId="49" fontId="23" fillId="4" borderId="1" xfId="1" applyNumberFormat="1" applyFont="1" applyFill="1" applyBorder="1" applyAlignment="1">
      <alignment horizontal="left"/>
    </xf>
    <xf numFmtId="166" fontId="23" fillId="4" borderId="1" xfId="0" applyNumberFormat="1" applyFont="1" applyFill="1" applyBorder="1" applyAlignment="1">
      <alignment horizontal="left"/>
    </xf>
    <xf numFmtId="166" fontId="23" fillId="2" borderId="1" xfId="0" applyNumberFormat="1" applyFont="1" applyFill="1" applyBorder="1" applyAlignment="1">
      <alignment horizontal="left"/>
    </xf>
    <xf numFmtId="0" fontId="25" fillId="0" borderId="1" xfId="3" applyFont="1" applyBorder="1" applyAlignment="1">
      <alignment horizontal="left"/>
    </xf>
    <xf numFmtId="0" fontId="8" fillId="2" borderId="3" xfId="0" applyFont="1" applyFill="1" applyBorder="1"/>
    <xf numFmtId="0" fontId="8" fillId="2" borderId="1" xfId="0" applyFont="1" applyFill="1" applyBorder="1"/>
    <xf numFmtId="0" fontId="1" fillId="2" borderId="0" xfId="0" applyFont="1" applyFill="1"/>
    <xf numFmtId="167" fontId="0" fillId="0" borderId="0" xfId="0" applyNumberFormat="1" applyAlignment="1">
      <alignment horizontal="left" vertical="center"/>
    </xf>
    <xf numFmtId="167" fontId="21" fillId="0" borderId="5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left"/>
    </xf>
    <xf numFmtId="167" fontId="8" fillId="4" borderId="1" xfId="0" applyNumberFormat="1" applyFont="1" applyFill="1" applyBorder="1" applyAlignment="1">
      <alignment horizontal="left"/>
    </xf>
    <xf numFmtId="167" fontId="8" fillId="2" borderId="1" xfId="0" applyNumberFormat="1" applyFont="1" applyFill="1" applyBorder="1" applyAlignment="1">
      <alignment horizontal="left"/>
    </xf>
    <xf numFmtId="167" fontId="23" fillId="0" borderId="1" xfId="0" applyNumberFormat="1" applyFont="1" applyBorder="1" applyAlignment="1">
      <alignment horizontal="left" vertical="center"/>
    </xf>
    <xf numFmtId="167" fontId="8" fillId="0" borderId="2" xfId="0" applyNumberFormat="1" applyFont="1" applyBorder="1" applyAlignment="1">
      <alignment horizontal="left"/>
    </xf>
    <xf numFmtId="167" fontId="0" fillId="0" borderId="0" xfId="0" applyNumberFormat="1"/>
    <xf numFmtId="168" fontId="18" fillId="0" borderId="0" xfId="0" applyNumberFormat="1" applyFont="1" applyAlignment="1">
      <alignment horizontal="left" vertical="center"/>
    </xf>
    <xf numFmtId="168" fontId="9" fillId="0" borderId="5" xfId="0" applyNumberFormat="1" applyFont="1" applyBorder="1" applyAlignment="1">
      <alignment horizontal="left" vertical="center" wrapText="1"/>
    </xf>
    <xf numFmtId="168" fontId="8" fillId="2" borderId="1" xfId="2" applyNumberFormat="1" applyFont="1" applyFill="1" applyBorder="1" applyAlignment="1">
      <alignment horizontal="left"/>
    </xf>
    <xf numFmtId="168" fontId="8" fillId="4" borderId="1" xfId="3" applyNumberFormat="1" applyFont="1" applyFill="1" applyBorder="1" applyAlignment="1">
      <alignment horizontal="left"/>
    </xf>
    <xf numFmtId="168" fontId="8" fillId="0" borderId="1" xfId="0" applyNumberFormat="1" applyFont="1" applyBorder="1" applyAlignment="1">
      <alignment horizontal="left"/>
    </xf>
    <xf numFmtId="168" fontId="8" fillId="2" borderId="1" xfId="0" applyNumberFormat="1" applyFont="1" applyFill="1" applyBorder="1" applyAlignment="1">
      <alignment horizontal="left"/>
    </xf>
    <xf numFmtId="168" fontId="8" fillId="4" borderId="1" xfId="2" applyNumberFormat="1" applyFont="1" applyFill="1" applyBorder="1" applyAlignment="1">
      <alignment horizontal="left"/>
    </xf>
    <xf numFmtId="168" fontId="8" fillId="4" borderId="1" xfId="0" applyNumberFormat="1" applyFont="1" applyFill="1" applyBorder="1" applyAlignment="1">
      <alignment horizontal="left"/>
    </xf>
    <xf numFmtId="168" fontId="8" fillId="0" borderId="1" xfId="1" applyNumberFormat="1" applyFont="1" applyBorder="1" applyAlignment="1">
      <alignment horizontal="left"/>
    </xf>
    <xf numFmtId="168" fontId="8" fillId="2" borderId="1" xfId="3" applyNumberFormat="1" applyFont="1" applyFill="1" applyBorder="1" applyAlignment="1">
      <alignment horizontal="left"/>
    </xf>
    <xf numFmtId="168" fontId="8" fillId="0" borderId="0" xfId="0" applyNumberFormat="1" applyFont="1" applyAlignment="1">
      <alignment horizontal="left"/>
    </xf>
    <xf numFmtId="0" fontId="6" fillId="4" borderId="1" xfId="3" applyFill="1" applyBorder="1"/>
    <xf numFmtId="0" fontId="28" fillId="2" borderId="1" xfId="0" applyFont="1" applyFill="1" applyBorder="1" applyAlignment="1">
      <alignment horizontal="left"/>
    </xf>
    <xf numFmtId="168" fontId="29" fillId="2" borderId="1" xfId="2" applyNumberFormat="1" applyFont="1" applyFill="1" applyBorder="1" applyAlignment="1">
      <alignment horizontal="left"/>
    </xf>
    <xf numFmtId="0" fontId="28" fillId="2" borderId="1" xfId="2" applyFont="1" applyFill="1" applyBorder="1" applyAlignment="1">
      <alignment horizontal="left"/>
    </xf>
    <xf numFmtId="165" fontId="29" fillId="2" borderId="1" xfId="2" applyNumberFormat="1" applyFont="1" applyFill="1" applyBorder="1" applyAlignment="1">
      <alignment horizontal="left"/>
    </xf>
    <xf numFmtId="168" fontId="29" fillId="2" borderId="1" xfId="3" applyNumberFormat="1" applyFont="1" applyFill="1" applyBorder="1" applyAlignment="1">
      <alignment horizontal="left"/>
    </xf>
    <xf numFmtId="0" fontId="31" fillId="2" borderId="1" xfId="3" applyFont="1" applyFill="1" applyBorder="1" applyAlignment="1">
      <alignment horizontal="left"/>
    </xf>
    <xf numFmtId="165" fontId="29" fillId="2" borderId="1" xfId="0" applyNumberFormat="1" applyFont="1" applyFill="1" applyBorder="1" applyAlignment="1">
      <alignment horizontal="left"/>
    </xf>
    <xf numFmtId="49" fontId="28" fillId="2" borderId="1" xfId="0" applyNumberFormat="1" applyFont="1" applyFill="1" applyBorder="1" applyAlignment="1">
      <alignment horizontal="left"/>
    </xf>
    <xf numFmtId="168" fontId="29" fillId="2" borderId="1" xfId="0" applyNumberFormat="1" applyFont="1" applyFill="1" applyBorder="1" applyAlignment="1">
      <alignment horizontal="left"/>
    </xf>
    <xf numFmtId="14" fontId="28" fillId="2" borderId="1" xfId="0" applyNumberFormat="1" applyFont="1" applyFill="1" applyBorder="1" applyAlignment="1">
      <alignment horizontal="left"/>
    </xf>
    <xf numFmtId="165" fontId="29" fillId="2" borderId="1" xfId="0" applyNumberFormat="1" applyFont="1" applyFill="1" applyBorder="1" applyAlignment="1">
      <alignment horizontal="left" wrapText="1"/>
    </xf>
    <xf numFmtId="165" fontId="28" fillId="2" borderId="1" xfId="0" applyNumberFormat="1" applyFont="1" applyFill="1" applyBorder="1" applyAlignment="1">
      <alignment horizontal="left" wrapText="1"/>
    </xf>
    <xf numFmtId="0" fontId="28" fillId="2" borderId="1" xfId="0" applyFont="1" applyFill="1" applyBorder="1"/>
    <xf numFmtId="168" fontId="29" fillId="2" borderId="1" xfId="1" applyNumberFormat="1" applyFont="1" applyFill="1" applyBorder="1" applyAlignment="1">
      <alignment horizontal="left"/>
    </xf>
    <xf numFmtId="165" fontId="29" fillId="2" borderId="1" xfId="1" applyNumberFormat="1" applyFont="1" applyFill="1" applyBorder="1" applyAlignment="1">
      <alignment horizontal="left"/>
    </xf>
    <xf numFmtId="14" fontId="28" fillId="2" borderId="1" xfId="1" applyNumberFormat="1" applyFont="1" applyFill="1" applyBorder="1" applyAlignment="1">
      <alignment horizontal="left"/>
    </xf>
    <xf numFmtId="0" fontId="30" fillId="2" borderId="1" xfId="0" applyFont="1" applyFill="1" applyBorder="1"/>
    <xf numFmtId="49" fontId="28" fillId="2" borderId="1" xfId="1" applyNumberFormat="1" applyFont="1" applyFill="1" applyBorder="1" applyAlignment="1">
      <alignment horizontal="left"/>
    </xf>
    <xf numFmtId="16" fontId="28" fillId="2" borderId="1" xfId="0" applyNumberFormat="1" applyFont="1" applyFill="1" applyBorder="1" applyAlignment="1">
      <alignment horizontal="left"/>
    </xf>
    <xf numFmtId="0" fontId="32" fillId="2" borderId="1" xfId="3" applyFont="1" applyFill="1" applyBorder="1" applyAlignment="1">
      <alignment horizontal="left"/>
    </xf>
    <xf numFmtId="0" fontId="32" fillId="2" borderId="1" xfId="3" applyFont="1" applyFill="1" applyBorder="1"/>
    <xf numFmtId="0" fontId="29" fillId="2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/>
    </xf>
    <xf numFmtId="0" fontId="29" fillId="2" borderId="1" xfId="0" applyFont="1" applyFill="1" applyBorder="1"/>
    <xf numFmtId="166" fontId="28" fillId="2" borderId="1" xfId="0" applyNumberFormat="1" applyFont="1" applyFill="1" applyBorder="1" applyAlignment="1">
      <alignment horizontal="left"/>
    </xf>
    <xf numFmtId="0" fontId="28" fillId="2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center" vertical="center" wrapText="1"/>
    </xf>
    <xf numFmtId="168" fontId="26" fillId="0" borderId="1" xfId="0" applyNumberFormat="1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30" fillId="5" borderId="1" xfId="0" applyFont="1" applyFill="1" applyBorder="1"/>
    <xf numFmtId="0" fontId="30" fillId="6" borderId="1" xfId="0" applyFont="1" applyFill="1" applyBorder="1"/>
    <xf numFmtId="0" fontId="30" fillId="7" borderId="1" xfId="0" applyFont="1" applyFill="1" applyBorder="1"/>
    <xf numFmtId="0" fontId="30" fillId="8" borderId="1" xfId="0" applyFont="1" applyFill="1" applyBorder="1"/>
    <xf numFmtId="0" fontId="30" fillId="9" borderId="1" xfId="0" applyFont="1" applyFill="1" applyBorder="1"/>
    <xf numFmtId="0" fontId="30" fillId="10" borderId="1" xfId="0" applyFont="1" applyFill="1" applyBorder="1"/>
    <xf numFmtId="0" fontId="30" fillId="11" borderId="1" xfId="0" applyFont="1" applyFill="1" applyBorder="1"/>
    <xf numFmtId="0" fontId="30" fillId="12" borderId="1" xfId="0" applyFont="1" applyFill="1" applyBorder="1"/>
    <xf numFmtId="0" fontId="30" fillId="13" borderId="1" xfId="0" applyFont="1" applyFill="1" applyBorder="1"/>
    <xf numFmtId="0" fontId="30" fillId="14" borderId="1" xfId="0" applyFont="1" applyFill="1" applyBorder="1"/>
    <xf numFmtId="0" fontId="30" fillId="15" borderId="1" xfId="0" applyFont="1" applyFill="1" applyBorder="1"/>
    <xf numFmtId="0" fontId="30" fillId="16" borderId="1" xfId="0" applyFont="1" applyFill="1" applyBorder="1"/>
  </cellXfs>
  <cellStyles count="4">
    <cellStyle name="Good" xfId="2" builtinId="26"/>
    <cellStyle name="Hyperlink" xfId="3" builtinId="8"/>
    <cellStyle name="Normal" xfId="0" builtinId="0"/>
    <cellStyle name="Normal 7" xfId="1" xr:uid="{00000000-0005-0000-0000-000003000000}"/>
  </cellStyles>
  <dxfs count="15">
    <dxf>
      <font>
        <strike val="0"/>
        <outline val="0"/>
        <shadow val="0"/>
        <vertAlign val="baseline"/>
        <sz val="12"/>
      </font>
      <numFmt numFmtId="0" formatCode="General"/>
    </dxf>
    <dxf>
      <font>
        <strike val="0"/>
        <outline val="0"/>
        <shadow val="0"/>
        <vertAlign val="baseline"/>
        <sz val="12"/>
      </font>
      <numFmt numFmtId="0" formatCode="General"/>
    </dxf>
    <dxf>
      <font>
        <strike val="0"/>
        <outline val="0"/>
        <shadow val="0"/>
        <vertAlign val="baseline"/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dd\-mm\-yyyy;@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</font>
      <numFmt numFmtId="168" formatCode="#####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###################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strike val="0"/>
        <outline val="0"/>
        <shadow val="0"/>
        <vertAlign val="baseline"/>
        <sz val="12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7CB8FF"/>
      <color rgb="FFFFBD00"/>
      <color rgb="FFF7FF00"/>
      <color rgb="FFC5FF8A"/>
      <color rgb="FFFE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D109C-EE30-8548-8D6D-12F64F6472F7}" name="Table1" displayName="Table1" ref="A2:K142" totalsRowShown="0" headerRowDxfId="14" dataDxfId="12" headerRowBorderDxfId="13" tableBorderDxfId="11">
  <autoFilter ref="A2:K142" xr:uid="{AE5D109C-EE30-8548-8D6D-12F64F6472F7}"/>
  <sortState xmlns:xlrd2="http://schemas.microsoft.com/office/spreadsheetml/2017/richdata2" ref="A3:K142">
    <sortCondition ref="J3:J142"/>
    <sortCondition ref="K3:K142"/>
  </sortState>
  <tableColumns count="11">
    <tableColumn id="1" xr3:uid="{7D771CB3-3514-804C-A889-92CDAD19142D}" name="Column1" dataDxfId="10"/>
    <tableColumn id="2" xr3:uid="{506AA231-1C3C-5F4A-90BF-DD5765DB0A21}" name="NIF" dataDxfId="9"/>
    <tableColumn id="3" xr3:uid="{35ED22F7-2F73-D647-A9B7-8F419C7E5FB7}" name="NOME" dataDxfId="8"/>
    <tableColumn id="4" xr3:uid="{D1726BD2-2E06-AE42-B5AD-DD6DFADE7E3F}" name="Contacto" dataDxfId="7"/>
    <tableColumn id="5" xr3:uid="{10C4468F-001C-0247-9BC8-C98EC1D2B237}" name="E-mail" dataDxfId="6"/>
    <tableColumn id="6" xr3:uid="{DA9D7CA5-15C1-8A4D-8D1D-EF7CD333A858}" name="Data Aniversário " dataDxfId="5"/>
    <tableColumn id="7" xr3:uid="{4681FE26-8926-1247-8E20-26D20915BBF1}" name="Nome Místico" dataDxfId="4"/>
    <tableColumn id="8" xr3:uid="{727E4734-54C5-774F-AAD2-4262BB8637FC}" name="Nº Sócio " dataDxfId="3"/>
    <tableColumn id="9" xr3:uid="{8EF9ACA7-2266-3A41-849A-F99499960692}" name="Obs" dataDxfId="2"/>
    <tableColumn id="10" xr3:uid="{559B1FCB-AD42-CB46-9B96-83FF8F2F0B08}" name="Mês" dataDxfId="1">
      <calculatedColumnFormula>IF(F3="","",IF(ISNUMBER(F3),MONTH(F3),IFERROR(VALUE(MID(TRIM(F3),4,2)),"")))</calculatedColumnFormula>
    </tableColumn>
    <tableColumn id="11" xr3:uid="{1A4BF0E8-A1C9-FA49-AD07-1E7B70DE1306}" name="Dia" dataDxfId="0">
      <calculatedColumnFormula>IF(F3="","",IF(ISNUMBER(F3),DAY(F3),IFERROR(VALUE(LEFT(TRIM(F3),2)),"")))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inafonseca26@gmail.com" TargetMode="External"/><Relationship Id="rId13" Type="http://schemas.openxmlformats.org/officeDocument/2006/relationships/hyperlink" Target="mailto:arq_andremello@hotmail.com" TargetMode="External"/><Relationship Id="rId3" Type="http://schemas.openxmlformats.org/officeDocument/2006/relationships/hyperlink" Target="callto:932%20529%20800" TargetMode="External"/><Relationship Id="rId7" Type="http://schemas.openxmlformats.org/officeDocument/2006/relationships/hyperlink" Target="mailto:wilsonsousa@gmail.com" TargetMode="External"/><Relationship Id="rId12" Type="http://schemas.openxmlformats.org/officeDocument/2006/relationships/hyperlink" Target="mailto:imgmonteiro4@gmail.com" TargetMode="External"/><Relationship Id="rId2" Type="http://schemas.openxmlformats.org/officeDocument/2006/relationships/hyperlink" Target="mailto:alipio@decorsofas.pt" TargetMode="External"/><Relationship Id="rId1" Type="http://schemas.openxmlformats.org/officeDocument/2006/relationships/hyperlink" Target="mailto:abraaott@gmail.com" TargetMode="External"/><Relationship Id="rId6" Type="http://schemas.openxmlformats.org/officeDocument/2006/relationships/hyperlink" Target="mailto:caronamario19@gmail.com" TargetMode="External"/><Relationship Id="rId11" Type="http://schemas.openxmlformats.org/officeDocument/2006/relationships/hyperlink" Target="mailto:saudmas2019@gmail.com" TargetMode="External"/><Relationship Id="rId5" Type="http://schemas.openxmlformats.org/officeDocument/2006/relationships/hyperlink" Target="mailto:pmarps@gmail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almascate@gmail.com" TargetMode="External"/><Relationship Id="rId4" Type="http://schemas.openxmlformats.org/officeDocument/2006/relationships/hyperlink" Target="mailto:paulodiramos@gmail.com" TargetMode="External"/><Relationship Id="rId9" Type="http://schemas.openxmlformats.org/officeDocument/2006/relationships/hyperlink" Target="mailto:scsb66@gmail.com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rinafonseca26@gmail.com" TargetMode="External"/><Relationship Id="rId13" Type="http://schemas.openxmlformats.org/officeDocument/2006/relationships/hyperlink" Target="mailto:arq_andremello@hotmail.com" TargetMode="External"/><Relationship Id="rId3" Type="http://schemas.openxmlformats.org/officeDocument/2006/relationships/hyperlink" Target="mailto:alipio@decorsofas.pt" TargetMode="External"/><Relationship Id="rId7" Type="http://schemas.openxmlformats.org/officeDocument/2006/relationships/hyperlink" Target="mailto:wilsonsousa@gmail.com" TargetMode="External"/><Relationship Id="rId12" Type="http://schemas.openxmlformats.org/officeDocument/2006/relationships/hyperlink" Target="mailto:imgmonteiro4@gmail.com" TargetMode="External"/><Relationship Id="rId2" Type="http://schemas.openxmlformats.org/officeDocument/2006/relationships/hyperlink" Target="mailto:abraaott@gmail.com" TargetMode="External"/><Relationship Id="rId1" Type="http://schemas.openxmlformats.org/officeDocument/2006/relationships/hyperlink" Target="callto:932%20529%20800" TargetMode="External"/><Relationship Id="rId6" Type="http://schemas.openxmlformats.org/officeDocument/2006/relationships/hyperlink" Target="mailto:caronamario19@gmail.com" TargetMode="External"/><Relationship Id="rId11" Type="http://schemas.openxmlformats.org/officeDocument/2006/relationships/hyperlink" Target="mailto:saudmas2019@gmail.com" TargetMode="External"/><Relationship Id="rId5" Type="http://schemas.openxmlformats.org/officeDocument/2006/relationships/hyperlink" Target="mailto:pmarps@gmail.com" TargetMode="External"/><Relationship Id="rId10" Type="http://schemas.openxmlformats.org/officeDocument/2006/relationships/hyperlink" Target="mailto:almascate@gmail.com" TargetMode="External"/><Relationship Id="rId4" Type="http://schemas.openxmlformats.org/officeDocument/2006/relationships/hyperlink" Target="mailto:paulodiramos@gmail.com" TargetMode="External"/><Relationship Id="rId9" Type="http://schemas.openxmlformats.org/officeDocument/2006/relationships/hyperlink" Target="mailto:scsb66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arinafonseca26@gmail.com" TargetMode="External"/><Relationship Id="rId3" Type="http://schemas.openxmlformats.org/officeDocument/2006/relationships/hyperlink" Target="mailto:paulodiramos@gmail.com" TargetMode="External"/><Relationship Id="rId7" Type="http://schemas.openxmlformats.org/officeDocument/2006/relationships/hyperlink" Target="mailto:wilsonsousa@g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callto:932%20529%20800" TargetMode="External"/><Relationship Id="rId1" Type="http://schemas.openxmlformats.org/officeDocument/2006/relationships/hyperlink" Target="mailto:abraaott@gmail.com" TargetMode="External"/><Relationship Id="rId6" Type="http://schemas.openxmlformats.org/officeDocument/2006/relationships/hyperlink" Target="mailto:caronamario19@gmail.com" TargetMode="External"/><Relationship Id="rId11" Type="http://schemas.openxmlformats.org/officeDocument/2006/relationships/hyperlink" Target="mailto:claragjeronimo@gmail.com" TargetMode="External"/><Relationship Id="rId5" Type="http://schemas.openxmlformats.org/officeDocument/2006/relationships/hyperlink" Target="mailto:pmarps@gmail.com" TargetMode="External"/><Relationship Id="rId10" Type="http://schemas.openxmlformats.org/officeDocument/2006/relationships/hyperlink" Target="mailto:almascate@gmail.com" TargetMode="External"/><Relationship Id="rId4" Type="http://schemas.openxmlformats.org/officeDocument/2006/relationships/hyperlink" Target="mailto:jcm.costa@gmail.com" TargetMode="External"/><Relationship Id="rId9" Type="http://schemas.openxmlformats.org/officeDocument/2006/relationships/hyperlink" Target="mailto:scsb6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3"/>
  <sheetViews>
    <sheetView zoomScale="90" workbookViewId="0">
      <selection activeCell="K1" activeCellId="6" sqref="C1:C1048576 D1:D1048576 E1:E1048576 F1:F1048576 G1:G1048576 J1:J1048576 K1:K1048576"/>
    </sheetView>
  </sheetViews>
  <sheetFormatPr baseColWidth="10" defaultColWidth="8.83203125" defaultRowHeight="16" x14ac:dyDescent="0.2"/>
  <cols>
    <col min="1" max="1" width="10.5" customWidth="1"/>
    <col min="2" max="2" width="16.6640625" style="124" customWidth="1"/>
    <col min="3" max="3" width="71.6640625" bestFit="1" customWidth="1"/>
    <col min="4" max="4" width="17" style="135" customWidth="1"/>
    <col min="5" max="5" width="28.6640625" bestFit="1" customWidth="1"/>
    <col min="6" max="6" width="23.1640625" customWidth="1"/>
    <col min="7" max="7" width="16" style="26" bestFit="1" customWidth="1"/>
    <col min="8" max="8" width="22" customWidth="1"/>
    <col min="9" max="9" width="27.5" bestFit="1" customWidth="1"/>
    <col min="10" max="10" width="12.83203125" customWidth="1"/>
    <col min="11" max="11" width="13.1640625" customWidth="1"/>
  </cols>
  <sheetData>
    <row r="1" spans="1:12" ht="56" customHeight="1" x14ac:dyDescent="0.2">
      <c r="B1" s="117"/>
      <c r="C1" s="23" t="s">
        <v>330</v>
      </c>
      <c r="D1" s="125"/>
      <c r="E1" s="23"/>
      <c r="F1" s="23"/>
      <c r="G1" s="24"/>
      <c r="H1" s="21"/>
    </row>
    <row r="2" spans="1:12" ht="32" customHeight="1" x14ac:dyDescent="0.2">
      <c r="A2" s="61" t="s">
        <v>367</v>
      </c>
      <c r="B2" s="118" t="s">
        <v>100</v>
      </c>
      <c r="C2" s="62" t="s">
        <v>0</v>
      </c>
      <c r="D2" s="126" t="s">
        <v>101</v>
      </c>
      <c r="E2" s="63" t="s">
        <v>102</v>
      </c>
      <c r="F2" s="62" t="s">
        <v>210</v>
      </c>
      <c r="G2" s="64" t="s">
        <v>250</v>
      </c>
      <c r="H2" s="63" t="s">
        <v>312</v>
      </c>
      <c r="I2" s="63" t="s">
        <v>366</v>
      </c>
      <c r="J2" s="63" t="s">
        <v>368</v>
      </c>
      <c r="K2" s="63" t="s">
        <v>369</v>
      </c>
    </row>
    <row r="3" spans="1:12" ht="20" customHeight="1" x14ac:dyDescent="0.2">
      <c r="A3" s="65">
        <v>77</v>
      </c>
      <c r="B3" s="119">
        <v>138957657</v>
      </c>
      <c r="C3" s="66" t="s">
        <v>59</v>
      </c>
      <c r="D3" s="127">
        <v>213954306</v>
      </c>
      <c r="E3" s="67"/>
      <c r="F3" s="68">
        <v>16072</v>
      </c>
      <c r="G3" s="67"/>
      <c r="H3" s="69">
        <v>1828</v>
      </c>
      <c r="I3" s="70"/>
      <c r="J3" s="70">
        <f t="shared" ref="J3:J34" si="0">IF(F3="","",IF(ISNUMBER(F3),MONTH(F3),IFERROR(VALUE(MID(TRIM(F3),4,2)),"")))</f>
        <v>1</v>
      </c>
      <c r="K3" s="70">
        <f t="shared" ref="K3:K34" si="1">IF(F3="","",IF(ISNUMBER(F3),DAY(F3),IFERROR(VALUE(LEFT(TRIM(F3),2)),"")))</f>
        <v>1</v>
      </c>
      <c r="L3" s="20"/>
    </row>
    <row r="4" spans="1:12" ht="20" customHeight="1" x14ac:dyDescent="0.2">
      <c r="A4" s="65">
        <v>123</v>
      </c>
      <c r="B4" s="120">
        <v>203389662</v>
      </c>
      <c r="C4" s="71" t="s">
        <v>337</v>
      </c>
      <c r="D4" s="128">
        <v>915498051</v>
      </c>
      <c r="E4" s="72" t="s">
        <v>338</v>
      </c>
      <c r="F4" s="73">
        <v>28859</v>
      </c>
      <c r="G4" s="74"/>
      <c r="H4" s="75"/>
      <c r="I4" s="70" t="s">
        <v>316</v>
      </c>
      <c r="J4" s="70">
        <f t="shared" si="0"/>
        <v>1</v>
      </c>
      <c r="K4" s="70">
        <f t="shared" si="1"/>
        <v>4</v>
      </c>
    </row>
    <row r="5" spans="1:12" ht="20" customHeight="1" x14ac:dyDescent="0.2">
      <c r="A5" s="65">
        <v>130</v>
      </c>
      <c r="B5" s="119">
        <v>222157453</v>
      </c>
      <c r="C5" s="66" t="s">
        <v>93</v>
      </c>
      <c r="D5" s="129">
        <v>913328645</v>
      </c>
      <c r="E5" s="76" t="s">
        <v>172</v>
      </c>
      <c r="F5" s="77">
        <v>28494</v>
      </c>
      <c r="G5" s="78" t="s">
        <v>307</v>
      </c>
      <c r="H5" s="69">
        <v>3563</v>
      </c>
      <c r="I5" s="70"/>
      <c r="J5" s="70">
        <f t="shared" si="0"/>
        <v>1</v>
      </c>
      <c r="K5" s="70">
        <f t="shared" si="1"/>
        <v>4</v>
      </c>
    </row>
    <row r="6" spans="1:12" ht="20" customHeight="1" x14ac:dyDescent="0.2">
      <c r="A6" s="65">
        <v>88</v>
      </c>
      <c r="B6" s="119">
        <v>194701875</v>
      </c>
      <c r="C6" s="66" t="s">
        <v>65</v>
      </c>
      <c r="D6" s="127">
        <v>917427513</v>
      </c>
      <c r="E6" s="76" t="s">
        <v>157</v>
      </c>
      <c r="F6" s="77">
        <v>25214</v>
      </c>
      <c r="G6" s="79"/>
      <c r="H6" s="69">
        <v>2824</v>
      </c>
      <c r="I6" s="70"/>
      <c r="J6" s="70">
        <f t="shared" si="0"/>
        <v>1</v>
      </c>
      <c r="K6" s="70">
        <f t="shared" si="1"/>
        <v>11</v>
      </c>
    </row>
    <row r="7" spans="1:12" ht="20" customHeight="1" x14ac:dyDescent="0.2">
      <c r="A7" s="65">
        <v>116</v>
      </c>
      <c r="B7" s="119">
        <v>184847532</v>
      </c>
      <c r="C7" s="66" t="s">
        <v>85</v>
      </c>
      <c r="D7" s="127">
        <v>965602747</v>
      </c>
      <c r="E7" s="67"/>
      <c r="F7" s="77">
        <v>28866</v>
      </c>
      <c r="G7" s="79"/>
      <c r="H7" s="69">
        <v>1890</v>
      </c>
      <c r="I7" s="70"/>
      <c r="J7" s="70">
        <f t="shared" si="0"/>
        <v>1</v>
      </c>
      <c r="K7" s="70">
        <f t="shared" si="1"/>
        <v>11</v>
      </c>
    </row>
    <row r="8" spans="1:12" ht="20" customHeight="1" x14ac:dyDescent="0.2">
      <c r="A8" s="65">
        <v>122</v>
      </c>
      <c r="B8" s="120">
        <v>202674592</v>
      </c>
      <c r="C8" s="71" t="s">
        <v>319</v>
      </c>
      <c r="D8" s="128">
        <v>919783014</v>
      </c>
      <c r="E8" s="71" t="s">
        <v>209</v>
      </c>
      <c r="F8" s="73">
        <v>25214</v>
      </c>
      <c r="G8" s="71"/>
      <c r="H8" s="80" t="s">
        <v>335</v>
      </c>
      <c r="I8" s="70"/>
      <c r="J8" s="70">
        <f t="shared" si="0"/>
        <v>1</v>
      </c>
      <c r="K8" s="70">
        <f t="shared" si="1"/>
        <v>11</v>
      </c>
    </row>
    <row r="9" spans="1:12" ht="20" customHeight="1" x14ac:dyDescent="0.2">
      <c r="A9" s="65">
        <v>76</v>
      </c>
      <c r="B9" s="119">
        <v>126168008</v>
      </c>
      <c r="C9" s="66" t="s">
        <v>58</v>
      </c>
      <c r="D9" s="127">
        <v>939426249</v>
      </c>
      <c r="E9" s="67" t="s">
        <v>353</v>
      </c>
      <c r="F9" s="68" t="s">
        <v>354</v>
      </c>
      <c r="G9" s="67"/>
      <c r="H9" s="69">
        <v>622</v>
      </c>
      <c r="I9" s="70"/>
      <c r="J9" s="70">
        <f t="shared" si="0"/>
        <v>1</v>
      </c>
      <c r="K9" s="70">
        <f t="shared" si="1"/>
        <v>14</v>
      </c>
    </row>
    <row r="10" spans="1:12" ht="20" customHeight="1" x14ac:dyDescent="0.2">
      <c r="A10" s="65">
        <v>13</v>
      </c>
      <c r="B10" s="119">
        <v>165285761</v>
      </c>
      <c r="C10" s="66" t="s">
        <v>11</v>
      </c>
      <c r="D10" s="127">
        <v>963458269</v>
      </c>
      <c r="E10" s="76" t="s">
        <v>180</v>
      </c>
      <c r="F10" s="77" t="s">
        <v>211</v>
      </c>
      <c r="G10" s="81"/>
      <c r="H10" s="69">
        <v>1359</v>
      </c>
      <c r="I10" s="70"/>
      <c r="J10" s="70">
        <f t="shared" si="0"/>
        <v>1</v>
      </c>
      <c r="K10" s="70">
        <f t="shared" si="1"/>
        <v>15</v>
      </c>
    </row>
    <row r="11" spans="1:12" ht="20" customHeight="1" x14ac:dyDescent="0.2">
      <c r="A11" s="65">
        <v>118</v>
      </c>
      <c r="B11" s="119">
        <v>147632084</v>
      </c>
      <c r="C11" s="66" t="s">
        <v>87</v>
      </c>
      <c r="D11" s="127">
        <v>967031599</v>
      </c>
      <c r="E11" s="67"/>
      <c r="F11" s="77">
        <v>17549</v>
      </c>
      <c r="G11" s="79" t="s">
        <v>314</v>
      </c>
      <c r="H11" s="69">
        <v>1147</v>
      </c>
      <c r="I11" s="70"/>
      <c r="J11" s="70">
        <f t="shared" si="0"/>
        <v>1</v>
      </c>
      <c r="K11" s="70">
        <f t="shared" si="1"/>
        <v>17</v>
      </c>
    </row>
    <row r="12" spans="1:12" ht="20" customHeight="1" x14ac:dyDescent="0.2">
      <c r="A12" s="65">
        <v>112</v>
      </c>
      <c r="B12" s="119">
        <v>235022012</v>
      </c>
      <c r="C12" s="66" t="s">
        <v>82</v>
      </c>
      <c r="D12" s="129">
        <v>924261503</v>
      </c>
      <c r="E12" s="76" t="s">
        <v>166</v>
      </c>
      <c r="F12" s="77">
        <v>32899</v>
      </c>
      <c r="G12" s="76" t="s">
        <v>301</v>
      </c>
      <c r="H12" s="69">
        <v>2827</v>
      </c>
      <c r="I12" s="70"/>
      <c r="J12" s="70">
        <f t="shared" si="0"/>
        <v>1</v>
      </c>
      <c r="K12" s="70">
        <f t="shared" si="1"/>
        <v>26</v>
      </c>
    </row>
    <row r="13" spans="1:12" ht="20" customHeight="1" x14ac:dyDescent="0.2">
      <c r="A13" s="65">
        <v>99</v>
      </c>
      <c r="B13" s="119">
        <v>140388621</v>
      </c>
      <c r="C13" s="66" t="s">
        <v>72</v>
      </c>
      <c r="D13" s="130">
        <v>914820070</v>
      </c>
      <c r="E13" s="76" t="s">
        <v>145</v>
      </c>
      <c r="F13" s="77">
        <v>16831</v>
      </c>
      <c r="G13" s="79"/>
      <c r="H13" s="69">
        <v>3799</v>
      </c>
      <c r="I13" s="70"/>
      <c r="J13" s="70">
        <f t="shared" si="0"/>
        <v>1</v>
      </c>
      <c r="K13" s="70">
        <f t="shared" si="1"/>
        <v>29</v>
      </c>
    </row>
    <row r="14" spans="1:12" ht="20" customHeight="1" x14ac:dyDescent="0.2">
      <c r="A14" s="65">
        <v>11</v>
      </c>
      <c r="B14" s="119">
        <v>169989734</v>
      </c>
      <c r="C14" s="66" t="s">
        <v>9</v>
      </c>
      <c r="D14" s="127">
        <v>967920416</v>
      </c>
      <c r="E14" s="67" t="s">
        <v>353</v>
      </c>
      <c r="F14" s="68">
        <v>23773</v>
      </c>
      <c r="G14" s="67" t="s">
        <v>256</v>
      </c>
      <c r="H14" s="69">
        <v>1133</v>
      </c>
      <c r="I14" s="70"/>
      <c r="J14" s="70">
        <f t="shared" si="0"/>
        <v>1</v>
      </c>
      <c r="K14" s="70">
        <f t="shared" si="1"/>
        <v>31</v>
      </c>
    </row>
    <row r="15" spans="1:12" ht="20" customHeight="1" x14ac:dyDescent="0.2">
      <c r="A15" s="65">
        <v>31</v>
      </c>
      <c r="B15" s="119">
        <v>103111743</v>
      </c>
      <c r="C15" s="66" t="s">
        <v>23</v>
      </c>
      <c r="D15" s="127">
        <v>914049605</v>
      </c>
      <c r="E15" s="76" t="s">
        <v>181</v>
      </c>
      <c r="F15" s="82" t="s">
        <v>357</v>
      </c>
      <c r="G15" s="66" t="s">
        <v>264</v>
      </c>
      <c r="H15" s="69">
        <v>3030</v>
      </c>
      <c r="I15" s="70"/>
      <c r="J15" s="70">
        <f t="shared" si="0"/>
        <v>2</v>
      </c>
      <c r="K15" s="70">
        <f t="shared" si="1"/>
        <v>1</v>
      </c>
    </row>
    <row r="16" spans="1:12" ht="20" customHeight="1" x14ac:dyDescent="0.2">
      <c r="A16" s="65">
        <v>39</v>
      </c>
      <c r="B16" s="119">
        <v>213584930</v>
      </c>
      <c r="C16" s="66" t="s">
        <v>30</v>
      </c>
      <c r="D16" s="127">
        <v>936322791</v>
      </c>
      <c r="E16" s="67" t="s">
        <v>355</v>
      </c>
      <c r="F16" s="83">
        <v>19392</v>
      </c>
      <c r="G16" s="84"/>
      <c r="H16" s="69">
        <v>3808</v>
      </c>
      <c r="I16" s="70"/>
      <c r="J16" s="70">
        <f t="shared" si="0"/>
        <v>2</v>
      </c>
      <c r="K16" s="70">
        <f t="shared" si="1"/>
        <v>2</v>
      </c>
    </row>
    <row r="17" spans="1:11" ht="20" customHeight="1" x14ac:dyDescent="0.2">
      <c r="A17" s="65">
        <v>67</v>
      </c>
      <c r="B17" s="120">
        <v>163546754</v>
      </c>
      <c r="C17" s="71" t="s">
        <v>52</v>
      </c>
      <c r="D17" s="131">
        <v>913103663</v>
      </c>
      <c r="E17" s="85"/>
      <c r="F17" s="86">
        <v>16470</v>
      </c>
      <c r="G17" s="71" t="s">
        <v>282</v>
      </c>
      <c r="H17" s="75" t="s">
        <v>313</v>
      </c>
      <c r="I17" s="70" t="s">
        <v>317</v>
      </c>
      <c r="J17" s="70">
        <f t="shared" si="0"/>
        <v>2</v>
      </c>
      <c r="K17" s="70">
        <f t="shared" si="1"/>
        <v>2</v>
      </c>
    </row>
    <row r="18" spans="1:11" ht="20" customHeight="1" x14ac:dyDescent="0.2">
      <c r="A18" s="65">
        <v>35</v>
      </c>
      <c r="B18" s="119">
        <v>235018961</v>
      </c>
      <c r="C18" s="66" t="s">
        <v>26</v>
      </c>
      <c r="D18" s="130">
        <v>910295764</v>
      </c>
      <c r="E18" s="66" t="s">
        <v>119</v>
      </c>
      <c r="F18" s="83">
        <v>32543</v>
      </c>
      <c r="G18" s="66" t="s">
        <v>266</v>
      </c>
      <c r="H18" s="69">
        <v>3680</v>
      </c>
      <c r="I18" s="70"/>
      <c r="J18" s="70">
        <f t="shared" si="0"/>
        <v>2</v>
      </c>
      <c r="K18" s="70">
        <f t="shared" si="1"/>
        <v>4</v>
      </c>
    </row>
    <row r="19" spans="1:11" ht="20" customHeight="1" x14ac:dyDescent="0.2">
      <c r="A19" s="65">
        <v>92</v>
      </c>
      <c r="B19" s="119">
        <v>222537990</v>
      </c>
      <c r="C19" s="66" t="s">
        <v>68</v>
      </c>
      <c r="D19" s="127">
        <v>968993111</v>
      </c>
      <c r="E19" s="67"/>
      <c r="F19" s="83">
        <v>28532</v>
      </c>
      <c r="G19" s="87"/>
      <c r="H19" s="69">
        <v>3520</v>
      </c>
      <c r="I19" s="70"/>
      <c r="J19" s="70">
        <f t="shared" si="0"/>
        <v>2</v>
      </c>
      <c r="K19" s="70">
        <f t="shared" si="1"/>
        <v>11</v>
      </c>
    </row>
    <row r="20" spans="1:11" s="27" customFormat="1" ht="20" customHeight="1" x14ac:dyDescent="0.2">
      <c r="A20" s="65">
        <v>86</v>
      </c>
      <c r="B20" s="119">
        <v>100282784</v>
      </c>
      <c r="C20" s="66" t="s">
        <v>179</v>
      </c>
      <c r="D20" s="129">
        <v>933466460</v>
      </c>
      <c r="E20" s="76" t="s">
        <v>156</v>
      </c>
      <c r="F20" s="83">
        <v>18672</v>
      </c>
      <c r="G20" s="76" t="s">
        <v>289</v>
      </c>
      <c r="H20" s="69">
        <v>284</v>
      </c>
      <c r="I20" s="70"/>
      <c r="J20" s="70">
        <f t="shared" si="0"/>
        <v>2</v>
      </c>
      <c r="K20" s="70">
        <f t="shared" si="1"/>
        <v>13</v>
      </c>
    </row>
    <row r="21" spans="1:11" ht="20" customHeight="1" x14ac:dyDescent="0.2">
      <c r="A21" s="65">
        <v>24</v>
      </c>
      <c r="B21" s="119"/>
      <c r="C21" s="66" t="s">
        <v>19</v>
      </c>
      <c r="D21" s="130">
        <v>966650613</v>
      </c>
      <c r="E21" s="76" t="s">
        <v>113</v>
      </c>
      <c r="F21" s="83">
        <v>25248</v>
      </c>
      <c r="G21" s="84"/>
      <c r="H21" s="69">
        <v>3919</v>
      </c>
      <c r="I21" s="70"/>
      <c r="J21" s="70">
        <f t="shared" si="0"/>
        <v>2</v>
      </c>
      <c r="K21" s="70">
        <f t="shared" si="1"/>
        <v>14</v>
      </c>
    </row>
    <row r="22" spans="1:11" ht="20" customHeight="1" x14ac:dyDescent="0.2">
      <c r="A22" s="65">
        <v>132</v>
      </c>
      <c r="B22" s="119">
        <v>202733744</v>
      </c>
      <c r="C22" s="66" t="s">
        <v>94</v>
      </c>
      <c r="D22" s="127">
        <v>967486563</v>
      </c>
      <c r="E22" s="67"/>
      <c r="F22" s="83">
        <v>27806</v>
      </c>
      <c r="G22" s="78" t="s">
        <v>308</v>
      </c>
      <c r="H22" s="69">
        <v>3152</v>
      </c>
      <c r="I22" s="70"/>
      <c r="J22" s="70">
        <f t="shared" si="0"/>
        <v>2</v>
      </c>
      <c r="K22" s="70">
        <f t="shared" si="1"/>
        <v>16</v>
      </c>
    </row>
    <row r="23" spans="1:11" ht="20" customHeight="1" x14ac:dyDescent="0.2">
      <c r="A23" s="65">
        <v>56</v>
      </c>
      <c r="B23" s="119">
        <v>138194300</v>
      </c>
      <c r="C23" s="66" t="s">
        <v>44</v>
      </c>
      <c r="D23" s="130">
        <v>963680898</v>
      </c>
      <c r="E23" s="76" t="s">
        <v>131</v>
      </c>
      <c r="F23" s="82">
        <v>46072</v>
      </c>
      <c r="G23" s="76" t="s">
        <v>276</v>
      </c>
      <c r="H23" s="69">
        <v>1506</v>
      </c>
      <c r="I23" s="70"/>
      <c r="J23" s="70">
        <f t="shared" si="0"/>
        <v>2</v>
      </c>
      <c r="K23" s="70">
        <f t="shared" si="1"/>
        <v>19</v>
      </c>
    </row>
    <row r="24" spans="1:11" ht="20" customHeight="1" x14ac:dyDescent="0.2">
      <c r="A24" s="65">
        <v>29</v>
      </c>
      <c r="B24" s="119">
        <v>190672242</v>
      </c>
      <c r="C24" s="66" t="s">
        <v>22</v>
      </c>
      <c r="D24" s="127">
        <v>969640536</v>
      </c>
      <c r="E24" s="76" t="s">
        <v>212</v>
      </c>
      <c r="F24" s="89">
        <v>25254</v>
      </c>
      <c r="G24" s="84"/>
      <c r="H24" s="69">
        <v>3441</v>
      </c>
      <c r="I24" s="70"/>
      <c r="J24" s="70">
        <f t="shared" si="0"/>
        <v>2</v>
      </c>
      <c r="K24" s="70">
        <f t="shared" si="1"/>
        <v>20</v>
      </c>
    </row>
    <row r="25" spans="1:11" ht="20" customHeight="1" x14ac:dyDescent="0.2">
      <c r="A25" s="65">
        <v>64</v>
      </c>
      <c r="B25" s="119">
        <v>122159381</v>
      </c>
      <c r="C25" s="66" t="s">
        <v>50</v>
      </c>
      <c r="D25" s="127">
        <v>965721521</v>
      </c>
      <c r="E25" s="66" t="s">
        <v>136</v>
      </c>
      <c r="F25" s="89">
        <v>17218</v>
      </c>
      <c r="G25" s="76" t="s">
        <v>280</v>
      </c>
      <c r="H25" s="69">
        <v>180</v>
      </c>
      <c r="I25" s="70"/>
      <c r="J25" s="70">
        <f t="shared" si="0"/>
        <v>2</v>
      </c>
      <c r="K25" s="70">
        <f t="shared" si="1"/>
        <v>20</v>
      </c>
    </row>
    <row r="26" spans="1:11" ht="20" customHeight="1" x14ac:dyDescent="0.2">
      <c r="A26" s="65">
        <v>113</v>
      </c>
      <c r="B26" s="119">
        <v>245275916</v>
      </c>
      <c r="C26" s="66" t="s">
        <v>83</v>
      </c>
      <c r="D26" s="127">
        <v>933476460</v>
      </c>
      <c r="E26" s="67"/>
      <c r="F26" s="89">
        <v>33289</v>
      </c>
      <c r="G26" s="84"/>
      <c r="H26" s="69">
        <v>827</v>
      </c>
      <c r="I26" s="70"/>
      <c r="J26" s="70">
        <f t="shared" si="0"/>
        <v>2</v>
      </c>
      <c r="K26" s="70">
        <f t="shared" si="1"/>
        <v>20</v>
      </c>
    </row>
    <row r="27" spans="1:11" ht="20" customHeight="1" x14ac:dyDescent="0.2">
      <c r="A27" s="65">
        <v>60</v>
      </c>
      <c r="B27" s="119">
        <v>151292248</v>
      </c>
      <c r="C27" s="66" t="s">
        <v>47</v>
      </c>
      <c r="D27" s="130">
        <v>934005083</v>
      </c>
      <c r="E27" s="76" t="s">
        <v>133</v>
      </c>
      <c r="F27" s="89">
        <v>21967</v>
      </c>
      <c r="G27" s="76" t="s">
        <v>277</v>
      </c>
      <c r="H27" s="69">
        <v>3031</v>
      </c>
      <c r="I27" s="70"/>
      <c r="J27" s="70">
        <f t="shared" si="0"/>
        <v>2</v>
      </c>
      <c r="K27" s="70">
        <f t="shared" si="1"/>
        <v>21</v>
      </c>
    </row>
    <row r="28" spans="1:11" ht="20" customHeight="1" x14ac:dyDescent="0.2">
      <c r="A28" s="65">
        <v>40</v>
      </c>
      <c r="B28" s="119">
        <v>240670590</v>
      </c>
      <c r="C28" s="66" t="s">
        <v>31</v>
      </c>
      <c r="D28" s="130">
        <v>967296794</v>
      </c>
      <c r="E28" s="76" t="s">
        <v>122</v>
      </c>
      <c r="F28" s="83">
        <v>31830</v>
      </c>
      <c r="G28" s="66" t="s">
        <v>268</v>
      </c>
      <c r="H28" s="69">
        <v>3197</v>
      </c>
      <c r="I28" s="70"/>
      <c r="J28" s="70">
        <f t="shared" si="0"/>
        <v>2</v>
      </c>
      <c r="K28" s="70">
        <f t="shared" si="1"/>
        <v>22</v>
      </c>
    </row>
    <row r="29" spans="1:11" ht="20" customHeight="1" x14ac:dyDescent="0.2">
      <c r="A29" s="65">
        <v>17</v>
      </c>
      <c r="B29" s="120">
        <v>232809488</v>
      </c>
      <c r="C29" s="71" t="s">
        <v>345</v>
      </c>
      <c r="D29" s="132">
        <v>961464165</v>
      </c>
      <c r="E29" s="72" t="s">
        <v>346</v>
      </c>
      <c r="F29" s="73">
        <v>30373</v>
      </c>
      <c r="G29" s="74"/>
      <c r="H29" s="90"/>
      <c r="I29" s="70"/>
      <c r="J29" s="70">
        <f t="shared" si="0"/>
        <v>2</v>
      </c>
      <c r="K29" s="70">
        <f t="shared" si="1"/>
        <v>26</v>
      </c>
    </row>
    <row r="30" spans="1:11" ht="20" customHeight="1" x14ac:dyDescent="0.2">
      <c r="A30" s="65">
        <v>83</v>
      </c>
      <c r="B30" s="119">
        <v>124642047</v>
      </c>
      <c r="C30" s="66" t="s">
        <v>62</v>
      </c>
      <c r="D30" s="127">
        <v>912472919</v>
      </c>
      <c r="E30" s="66" t="s">
        <v>154</v>
      </c>
      <c r="F30" s="89">
        <v>20878</v>
      </c>
      <c r="G30" s="76" t="s">
        <v>288</v>
      </c>
      <c r="H30" s="69">
        <v>2737</v>
      </c>
      <c r="I30" s="70"/>
      <c r="J30" s="70">
        <f t="shared" si="0"/>
        <v>2</v>
      </c>
      <c r="K30" s="70">
        <f t="shared" si="1"/>
        <v>27</v>
      </c>
    </row>
    <row r="31" spans="1:11" ht="20" customHeight="1" x14ac:dyDescent="0.2">
      <c r="A31" s="65">
        <v>106</v>
      </c>
      <c r="B31" s="119"/>
      <c r="C31" s="90" t="s">
        <v>326</v>
      </c>
      <c r="D31" s="132">
        <v>969448934</v>
      </c>
      <c r="E31" s="72" t="s">
        <v>344</v>
      </c>
      <c r="F31" s="73">
        <v>24166</v>
      </c>
      <c r="G31" s="71"/>
      <c r="H31" s="80">
        <v>3253</v>
      </c>
      <c r="I31" s="70" t="s">
        <v>328</v>
      </c>
      <c r="J31" s="70">
        <f t="shared" si="0"/>
        <v>2</v>
      </c>
      <c r="K31" s="70">
        <f t="shared" si="1"/>
        <v>28</v>
      </c>
    </row>
    <row r="32" spans="1:11" ht="20" customHeight="1" x14ac:dyDescent="0.2">
      <c r="A32" s="65">
        <v>84</v>
      </c>
      <c r="B32" s="119">
        <v>100135544</v>
      </c>
      <c r="C32" s="66" t="s">
        <v>63</v>
      </c>
      <c r="D32" s="127">
        <v>922037775</v>
      </c>
      <c r="E32" s="76" t="s">
        <v>155</v>
      </c>
      <c r="F32" s="82">
        <v>19054</v>
      </c>
      <c r="G32" s="76" t="s">
        <v>286</v>
      </c>
      <c r="H32" s="69">
        <v>1233</v>
      </c>
      <c r="I32" s="70"/>
      <c r="J32" s="70">
        <f t="shared" si="0"/>
        <v>3</v>
      </c>
      <c r="K32" s="70">
        <f t="shared" si="1"/>
        <v>1</v>
      </c>
    </row>
    <row r="33" spans="1:11" ht="20" customHeight="1" x14ac:dyDescent="0.2">
      <c r="A33" s="65">
        <v>22</v>
      </c>
      <c r="B33" s="119">
        <v>125612516</v>
      </c>
      <c r="C33" s="66" t="s">
        <v>17</v>
      </c>
      <c r="D33" s="133">
        <v>964998573</v>
      </c>
      <c r="E33" s="67"/>
      <c r="F33" s="91">
        <v>17596</v>
      </c>
      <c r="G33" s="92"/>
      <c r="H33" s="69">
        <v>3923</v>
      </c>
      <c r="I33" s="70"/>
      <c r="J33" s="70">
        <f t="shared" si="0"/>
        <v>3</v>
      </c>
      <c r="K33" s="70">
        <f t="shared" si="1"/>
        <v>4</v>
      </c>
    </row>
    <row r="34" spans="1:11" ht="20" customHeight="1" x14ac:dyDescent="0.2">
      <c r="A34" s="65">
        <v>117</v>
      </c>
      <c r="B34" s="119">
        <v>219627665</v>
      </c>
      <c r="C34" s="66" t="s">
        <v>86</v>
      </c>
      <c r="D34" s="127">
        <v>964061478</v>
      </c>
      <c r="E34" s="67"/>
      <c r="F34" s="77" t="s">
        <v>216</v>
      </c>
      <c r="G34" s="81"/>
      <c r="H34" s="69">
        <v>3539</v>
      </c>
      <c r="I34" s="70"/>
      <c r="J34" s="70">
        <f t="shared" si="0"/>
        <v>3</v>
      </c>
      <c r="K34" s="70">
        <f t="shared" si="1"/>
        <v>11</v>
      </c>
    </row>
    <row r="35" spans="1:11" ht="20" customHeight="1" x14ac:dyDescent="0.2">
      <c r="A35" s="65">
        <v>102</v>
      </c>
      <c r="B35" s="119">
        <v>205897487</v>
      </c>
      <c r="C35" s="66" t="s">
        <v>75</v>
      </c>
      <c r="D35" s="132">
        <v>967752461</v>
      </c>
      <c r="E35" s="67" t="s">
        <v>350</v>
      </c>
      <c r="F35" s="82" t="s">
        <v>215</v>
      </c>
      <c r="G35" s="93"/>
      <c r="H35" s="69">
        <v>2957</v>
      </c>
      <c r="I35" s="70" t="s">
        <v>334</v>
      </c>
      <c r="J35" s="70">
        <f t="shared" ref="J35:J66" si="2">IF(F35="","",IF(ISNUMBER(F35),MONTH(F35),IFERROR(VALUE(MID(TRIM(F35),4,2)),"")))</f>
        <v>3</v>
      </c>
      <c r="K35" s="70">
        <f t="shared" ref="K35:K66" si="3">IF(F35="","",IF(ISNUMBER(F35),DAY(F35),IFERROR(VALUE(LEFT(TRIM(F35),2)),"")))</f>
        <v>12</v>
      </c>
    </row>
    <row r="36" spans="1:11" ht="20" customHeight="1" x14ac:dyDescent="0.2">
      <c r="A36" s="65">
        <v>62</v>
      </c>
      <c r="B36" s="119">
        <v>118255037</v>
      </c>
      <c r="C36" s="66" t="s">
        <v>48</v>
      </c>
      <c r="D36" s="130">
        <v>938451418</v>
      </c>
      <c r="E36" s="76" t="s">
        <v>134</v>
      </c>
      <c r="F36" s="82">
        <v>19069</v>
      </c>
      <c r="G36" s="76" t="s">
        <v>278</v>
      </c>
      <c r="H36" s="69">
        <v>1521</v>
      </c>
      <c r="I36" s="70"/>
      <c r="J36" s="70">
        <f t="shared" si="2"/>
        <v>3</v>
      </c>
      <c r="K36" s="70">
        <f t="shared" si="3"/>
        <v>16</v>
      </c>
    </row>
    <row r="37" spans="1:11" ht="20" customHeight="1" x14ac:dyDescent="0.2">
      <c r="A37" s="65">
        <v>68</v>
      </c>
      <c r="B37" s="119">
        <v>101804849</v>
      </c>
      <c r="C37" s="66" t="s">
        <v>139</v>
      </c>
      <c r="D37" s="130">
        <v>917253154</v>
      </c>
      <c r="E37" s="76" t="s">
        <v>142</v>
      </c>
      <c r="F37" s="77" t="s">
        <v>214</v>
      </c>
      <c r="G37" s="81"/>
      <c r="H37" s="69">
        <v>2927</v>
      </c>
      <c r="I37" s="70"/>
      <c r="J37" s="70">
        <f t="shared" si="2"/>
        <v>3</v>
      </c>
      <c r="K37" s="70">
        <f t="shared" si="3"/>
        <v>16</v>
      </c>
    </row>
    <row r="38" spans="1:11" ht="20" customHeight="1" x14ac:dyDescent="0.2">
      <c r="A38" s="65">
        <v>5</v>
      </c>
      <c r="B38" s="119">
        <v>195874749</v>
      </c>
      <c r="C38" s="66" t="s">
        <v>4</v>
      </c>
      <c r="D38" s="127">
        <v>912765270</v>
      </c>
      <c r="E38" s="67" t="s">
        <v>106</v>
      </c>
      <c r="F38" s="77">
        <v>25283</v>
      </c>
      <c r="G38" s="66" t="s">
        <v>253</v>
      </c>
      <c r="H38" s="69">
        <v>166</v>
      </c>
      <c r="I38" s="70"/>
      <c r="J38" s="70">
        <f t="shared" si="2"/>
        <v>3</v>
      </c>
      <c r="K38" s="70">
        <f t="shared" si="3"/>
        <v>21</v>
      </c>
    </row>
    <row r="39" spans="1:11" ht="20" customHeight="1" x14ac:dyDescent="0.2">
      <c r="A39" s="65">
        <v>89</v>
      </c>
      <c r="B39" s="119">
        <v>113626827</v>
      </c>
      <c r="C39" s="66" t="s">
        <v>66</v>
      </c>
      <c r="D39" s="127">
        <v>938604400</v>
      </c>
      <c r="E39" s="67" t="s">
        <v>353</v>
      </c>
      <c r="F39" s="77">
        <v>17248</v>
      </c>
      <c r="G39" s="76" t="s">
        <v>290</v>
      </c>
      <c r="H39" s="69">
        <v>14</v>
      </c>
      <c r="I39" s="70"/>
      <c r="J39" s="70">
        <f t="shared" si="2"/>
        <v>3</v>
      </c>
      <c r="K39" s="70">
        <f t="shared" si="3"/>
        <v>22</v>
      </c>
    </row>
    <row r="40" spans="1:11" ht="20" customHeight="1" x14ac:dyDescent="0.2">
      <c r="A40" s="65">
        <v>100</v>
      </c>
      <c r="B40" s="119">
        <v>160747392</v>
      </c>
      <c r="C40" s="66" t="s">
        <v>73</v>
      </c>
      <c r="D40" s="130">
        <v>969041114</v>
      </c>
      <c r="E40" s="76" t="s">
        <v>146</v>
      </c>
      <c r="F40" s="77">
        <v>21269</v>
      </c>
      <c r="G40" s="76" t="s">
        <v>295</v>
      </c>
      <c r="H40" s="69">
        <v>476</v>
      </c>
      <c r="I40" s="70"/>
      <c r="J40" s="70">
        <f t="shared" si="2"/>
        <v>3</v>
      </c>
      <c r="K40" s="70">
        <f t="shared" si="3"/>
        <v>25</v>
      </c>
    </row>
    <row r="41" spans="1:11" ht="20" customHeight="1" x14ac:dyDescent="0.2">
      <c r="A41" s="65">
        <v>54</v>
      </c>
      <c r="B41" s="119">
        <v>252242505</v>
      </c>
      <c r="C41" s="66" t="s">
        <v>42</v>
      </c>
      <c r="D41" s="130">
        <v>915759595</v>
      </c>
      <c r="E41" s="76" t="s">
        <v>130</v>
      </c>
      <c r="F41" s="77" t="s">
        <v>213</v>
      </c>
      <c r="G41" s="81"/>
      <c r="H41" s="69">
        <v>2528</v>
      </c>
      <c r="I41" s="70"/>
      <c r="J41" s="70">
        <f t="shared" si="2"/>
        <v>3</v>
      </c>
      <c r="K41" s="70">
        <f t="shared" si="3"/>
        <v>29</v>
      </c>
    </row>
    <row r="42" spans="1:11" ht="20" customHeight="1" x14ac:dyDescent="0.2">
      <c r="A42" s="65">
        <v>72</v>
      </c>
      <c r="B42" s="119">
        <v>178106771</v>
      </c>
      <c r="C42" s="66" t="s">
        <v>55</v>
      </c>
      <c r="D42" s="127">
        <v>914587038</v>
      </c>
      <c r="E42" s="67"/>
      <c r="F42" s="77">
        <v>22734</v>
      </c>
      <c r="G42" s="76" t="s">
        <v>283</v>
      </c>
      <c r="H42" s="69">
        <v>1404</v>
      </c>
      <c r="I42" s="70"/>
      <c r="J42" s="70">
        <f t="shared" si="2"/>
        <v>3</v>
      </c>
      <c r="K42" s="70">
        <f t="shared" si="3"/>
        <v>29</v>
      </c>
    </row>
    <row r="43" spans="1:11" ht="20" customHeight="1" x14ac:dyDescent="0.2">
      <c r="A43" s="65">
        <v>129</v>
      </c>
      <c r="B43" s="119">
        <v>110978722</v>
      </c>
      <c r="C43" s="66" t="s">
        <v>92</v>
      </c>
      <c r="D43" s="127">
        <v>968439848</v>
      </c>
      <c r="E43" s="67"/>
      <c r="F43" s="77" t="s">
        <v>218</v>
      </c>
      <c r="G43" s="78" t="s">
        <v>306</v>
      </c>
      <c r="H43" s="69">
        <v>296</v>
      </c>
      <c r="I43" s="70"/>
      <c r="J43" s="70">
        <f t="shared" si="2"/>
        <v>4</v>
      </c>
      <c r="K43" s="70">
        <f t="shared" si="3"/>
        <v>2</v>
      </c>
    </row>
    <row r="44" spans="1:11" ht="20" customHeight="1" x14ac:dyDescent="0.2">
      <c r="A44" s="65">
        <v>53</v>
      </c>
      <c r="B44" s="119">
        <v>189966386</v>
      </c>
      <c r="C44" s="66" t="s">
        <v>41</v>
      </c>
      <c r="D44" s="130">
        <v>961201449</v>
      </c>
      <c r="E44" s="76" t="s">
        <v>129</v>
      </c>
      <c r="F44" s="77">
        <v>22010</v>
      </c>
      <c r="G44" s="79"/>
      <c r="H44" s="69">
        <v>440</v>
      </c>
      <c r="I44" s="70"/>
      <c r="J44" s="70">
        <f t="shared" si="2"/>
        <v>4</v>
      </c>
      <c r="K44" s="70">
        <f t="shared" si="3"/>
        <v>4</v>
      </c>
    </row>
    <row r="45" spans="1:11" ht="20" customHeight="1" x14ac:dyDescent="0.2">
      <c r="A45" s="65">
        <v>91</v>
      </c>
      <c r="B45" s="119">
        <v>141503661</v>
      </c>
      <c r="C45" s="66" t="s">
        <v>159</v>
      </c>
      <c r="D45" s="129">
        <v>969468188</v>
      </c>
      <c r="E45" s="76" t="s">
        <v>160</v>
      </c>
      <c r="F45" s="77">
        <v>19455</v>
      </c>
      <c r="G45" s="76" t="s">
        <v>292</v>
      </c>
      <c r="H45" s="69">
        <v>598</v>
      </c>
      <c r="I45" s="70"/>
      <c r="J45" s="70">
        <f t="shared" si="2"/>
        <v>4</v>
      </c>
      <c r="K45" s="70">
        <f t="shared" si="3"/>
        <v>6</v>
      </c>
    </row>
    <row r="46" spans="1:11" ht="20" customHeight="1" x14ac:dyDescent="0.2">
      <c r="A46" s="65">
        <v>98</v>
      </c>
      <c r="B46" s="119">
        <v>138078769</v>
      </c>
      <c r="C46" s="66" t="s">
        <v>71</v>
      </c>
      <c r="D46" s="130">
        <v>917605153</v>
      </c>
      <c r="E46" s="76" t="s">
        <v>144</v>
      </c>
      <c r="F46" s="77" t="s">
        <v>249</v>
      </c>
      <c r="G46" s="76" t="s">
        <v>294</v>
      </c>
      <c r="H46" s="69">
        <v>2954</v>
      </c>
      <c r="I46" s="70"/>
      <c r="J46" s="70">
        <f t="shared" si="2"/>
        <v>4</v>
      </c>
      <c r="K46" s="70">
        <f t="shared" si="3"/>
        <v>9</v>
      </c>
    </row>
    <row r="47" spans="1:11" ht="20" customHeight="1" x14ac:dyDescent="0.2">
      <c r="A47" s="65">
        <v>136</v>
      </c>
      <c r="B47" s="120" t="s">
        <v>189</v>
      </c>
      <c r="C47" s="71" t="s">
        <v>348</v>
      </c>
      <c r="D47" s="131">
        <v>919270630</v>
      </c>
      <c r="E47" s="72" t="s">
        <v>349</v>
      </c>
      <c r="F47" s="73">
        <v>24209</v>
      </c>
      <c r="G47" s="71"/>
      <c r="H47" s="80" t="s">
        <v>315</v>
      </c>
      <c r="I47" s="70"/>
      <c r="J47" s="70">
        <f t="shared" si="2"/>
        <v>4</v>
      </c>
      <c r="K47" s="70">
        <f t="shared" si="3"/>
        <v>12</v>
      </c>
    </row>
    <row r="48" spans="1:11" ht="20" customHeight="1" x14ac:dyDescent="0.2">
      <c r="A48" s="65">
        <v>2</v>
      </c>
      <c r="B48" s="119"/>
      <c r="C48" s="66" t="s">
        <v>176</v>
      </c>
      <c r="D48" s="127"/>
      <c r="E48" s="67"/>
      <c r="F48" s="68">
        <v>18733</v>
      </c>
      <c r="G48" s="67"/>
      <c r="H48" s="69">
        <v>1166</v>
      </c>
      <c r="I48" s="70"/>
      <c r="J48" s="70">
        <f t="shared" si="2"/>
        <v>4</v>
      </c>
      <c r="K48" s="70">
        <f t="shared" si="3"/>
        <v>15</v>
      </c>
    </row>
    <row r="49" spans="1:11" ht="20" customHeight="1" x14ac:dyDescent="0.2">
      <c r="A49" s="65">
        <v>32</v>
      </c>
      <c r="B49" s="119">
        <v>166076481</v>
      </c>
      <c r="C49" s="66" t="s">
        <v>24</v>
      </c>
      <c r="D49" s="127"/>
      <c r="E49" s="67"/>
      <c r="F49" s="68">
        <v>28964</v>
      </c>
      <c r="G49" s="67"/>
      <c r="H49" s="69">
        <v>1463</v>
      </c>
      <c r="I49" s="70"/>
      <c r="J49" s="70">
        <f t="shared" si="2"/>
        <v>4</v>
      </c>
      <c r="K49" s="70">
        <f t="shared" si="3"/>
        <v>19</v>
      </c>
    </row>
    <row r="50" spans="1:11" ht="20" customHeight="1" x14ac:dyDescent="0.2">
      <c r="A50" s="65">
        <v>20</v>
      </c>
      <c r="B50" s="119">
        <v>144513480</v>
      </c>
      <c r="C50" s="66" t="s">
        <v>15</v>
      </c>
      <c r="D50" s="130">
        <v>927363931</v>
      </c>
      <c r="E50" s="76" t="s">
        <v>111</v>
      </c>
      <c r="F50" s="77" t="s">
        <v>217</v>
      </c>
      <c r="G50" s="66" t="s">
        <v>258</v>
      </c>
      <c r="H50" s="69">
        <v>3088</v>
      </c>
      <c r="I50" s="70"/>
      <c r="J50" s="70">
        <f t="shared" si="2"/>
        <v>4</v>
      </c>
      <c r="K50" s="70">
        <f t="shared" si="3"/>
        <v>29</v>
      </c>
    </row>
    <row r="51" spans="1:11" ht="20" customHeight="1" x14ac:dyDescent="0.2">
      <c r="A51" s="65">
        <v>21</v>
      </c>
      <c r="B51" s="119">
        <v>111934419</v>
      </c>
      <c r="C51" s="66" t="s">
        <v>16</v>
      </c>
      <c r="D51" s="130">
        <v>917252684</v>
      </c>
      <c r="E51" s="76" t="s">
        <v>112</v>
      </c>
      <c r="F51" s="77" t="s">
        <v>221</v>
      </c>
      <c r="G51" s="66" t="s">
        <v>259</v>
      </c>
      <c r="H51" s="69">
        <v>3929</v>
      </c>
      <c r="I51" s="70"/>
      <c r="J51" s="70">
        <f t="shared" si="2"/>
        <v>5</v>
      </c>
      <c r="K51" s="70">
        <f t="shared" si="3"/>
        <v>4</v>
      </c>
    </row>
    <row r="52" spans="1:11" ht="20" customHeight="1" x14ac:dyDescent="0.2">
      <c r="A52" s="65">
        <v>44</v>
      </c>
      <c r="B52" s="119">
        <v>122421302</v>
      </c>
      <c r="C52" s="66" t="s">
        <v>34</v>
      </c>
      <c r="D52" s="127">
        <v>213147776</v>
      </c>
      <c r="E52" s="67" t="s">
        <v>353</v>
      </c>
      <c r="F52" s="68">
        <v>12545</v>
      </c>
      <c r="G52" s="67"/>
      <c r="H52" s="69">
        <v>2898</v>
      </c>
      <c r="I52" s="70"/>
      <c r="J52" s="70">
        <f t="shared" si="2"/>
        <v>5</v>
      </c>
      <c r="K52" s="70">
        <f t="shared" si="3"/>
        <v>6</v>
      </c>
    </row>
    <row r="53" spans="1:11" ht="20" customHeight="1" x14ac:dyDescent="0.2">
      <c r="A53" s="65">
        <v>85</v>
      </c>
      <c r="B53" s="119">
        <v>111145961</v>
      </c>
      <c r="C53" s="66" t="s">
        <v>64</v>
      </c>
      <c r="D53" s="127">
        <v>213904513</v>
      </c>
      <c r="E53" s="67" t="s">
        <v>353</v>
      </c>
      <c r="F53" s="68">
        <v>13283</v>
      </c>
      <c r="G53" s="67"/>
      <c r="H53" s="69">
        <v>470</v>
      </c>
      <c r="I53" s="70"/>
      <c r="J53" s="70">
        <f t="shared" si="2"/>
        <v>5</v>
      </c>
      <c r="K53" s="70">
        <f t="shared" si="3"/>
        <v>13</v>
      </c>
    </row>
    <row r="54" spans="1:11" ht="20" customHeight="1" x14ac:dyDescent="0.2">
      <c r="A54" s="65">
        <v>10</v>
      </c>
      <c r="B54" s="119">
        <v>103471413</v>
      </c>
      <c r="C54" s="66" t="s">
        <v>8</v>
      </c>
      <c r="D54" s="130">
        <v>962544544</v>
      </c>
      <c r="E54" s="67" t="s">
        <v>353</v>
      </c>
      <c r="F54" s="82" t="s">
        <v>219</v>
      </c>
      <c r="G54" s="66" t="s">
        <v>255</v>
      </c>
      <c r="H54" s="69">
        <v>2776</v>
      </c>
      <c r="I54" s="70"/>
      <c r="J54" s="70">
        <f t="shared" si="2"/>
        <v>5</v>
      </c>
      <c r="K54" s="70">
        <f t="shared" si="3"/>
        <v>14</v>
      </c>
    </row>
    <row r="55" spans="1:11" ht="20" customHeight="1" x14ac:dyDescent="0.2">
      <c r="A55" s="65">
        <v>59</v>
      </c>
      <c r="B55" s="119">
        <v>186671105</v>
      </c>
      <c r="C55" s="66" t="s">
        <v>347</v>
      </c>
      <c r="D55" s="130">
        <v>936250659</v>
      </c>
      <c r="E55" s="94" t="s">
        <v>360</v>
      </c>
      <c r="F55" s="82">
        <v>24606</v>
      </c>
      <c r="G55" s="76"/>
      <c r="H55" s="69"/>
      <c r="I55" s="70"/>
      <c r="J55" s="70">
        <f t="shared" si="2"/>
        <v>5</v>
      </c>
      <c r="K55" s="70">
        <f t="shared" si="3"/>
        <v>14</v>
      </c>
    </row>
    <row r="56" spans="1:11" ht="20" customHeight="1" x14ac:dyDescent="0.2">
      <c r="A56" s="65">
        <v>46</v>
      </c>
      <c r="B56" s="119">
        <v>159419093</v>
      </c>
      <c r="C56" s="66" t="s">
        <v>36</v>
      </c>
      <c r="D56" s="127">
        <v>919840649</v>
      </c>
      <c r="E56" s="76" t="s">
        <v>124</v>
      </c>
      <c r="F56" s="82" t="s">
        <v>223</v>
      </c>
      <c r="G56" s="81"/>
      <c r="H56" s="69">
        <v>3930</v>
      </c>
      <c r="I56" s="70"/>
      <c r="J56" s="70">
        <f t="shared" si="2"/>
        <v>5</v>
      </c>
      <c r="K56" s="70">
        <f t="shared" si="3"/>
        <v>17</v>
      </c>
    </row>
    <row r="57" spans="1:11" ht="20" customHeight="1" x14ac:dyDescent="0.2">
      <c r="A57" s="65">
        <v>65</v>
      </c>
      <c r="B57" s="120"/>
      <c r="C57" s="71" t="s">
        <v>184</v>
      </c>
      <c r="D57" s="131">
        <v>932996002</v>
      </c>
      <c r="E57" s="71" t="s">
        <v>138</v>
      </c>
      <c r="F57" s="73" t="s">
        <v>361</v>
      </c>
      <c r="G57" s="71"/>
      <c r="H57" s="80">
        <v>1906</v>
      </c>
      <c r="I57" s="70" t="s">
        <v>328</v>
      </c>
      <c r="J57" s="70">
        <f t="shared" si="2"/>
        <v>5</v>
      </c>
      <c r="K57" s="70">
        <f t="shared" si="3"/>
        <v>17</v>
      </c>
    </row>
    <row r="58" spans="1:11" ht="20" customHeight="1" x14ac:dyDescent="0.2">
      <c r="A58" s="65">
        <v>12</v>
      </c>
      <c r="B58" s="119">
        <v>115901116</v>
      </c>
      <c r="C58" s="66" t="s">
        <v>10</v>
      </c>
      <c r="D58" s="130">
        <v>914257808</v>
      </c>
      <c r="E58" s="76" t="s">
        <v>108</v>
      </c>
      <c r="F58" s="82" t="s">
        <v>220</v>
      </c>
      <c r="G58" s="81"/>
      <c r="H58" s="69">
        <v>1896</v>
      </c>
      <c r="I58" s="70"/>
      <c r="J58" s="70">
        <f t="shared" si="2"/>
        <v>5</v>
      </c>
      <c r="K58" s="70">
        <f t="shared" si="3"/>
        <v>18</v>
      </c>
    </row>
    <row r="59" spans="1:11" ht="20" customHeight="1" x14ac:dyDescent="0.2">
      <c r="A59" s="65">
        <v>74</v>
      </c>
      <c r="B59" s="119">
        <v>170714381</v>
      </c>
      <c r="C59" s="96" t="s">
        <v>57</v>
      </c>
      <c r="D59" s="127">
        <v>933582420</v>
      </c>
      <c r="E59" s="76" t="s">
        <v>105</v>
      </c>
      <c r="F59" s="82">
        <v>19507</v>
      </c>
      <c r="G59" s="76" t="s">
        <v>284</v>
      </c>
      <c r="H59" s="69">
        <v>1458</v>
      </c>
      <c r="I59" s="70" t="s">
        <v>362</v>
      </c>
      <c r="J59" s="70">
        <f t="shared" si="2"/>
        <v>5</v>
      </c>
      <c r="K59" s="70">
        <f t="shared" si="3"/>
        <v>28</v>
      </c>
    </row>
    <row r="60" spans="1:11" ht="20" customHeight="1" x14ac:dyDescent="0.2">
      <c r="A60" s="65">
        <v>30</v>
      </c>
      <c r="B60" s="119">
        <v>130649805</v>
      </c>
      <c r="C60" s="66" t="s">
        <v>117</v>
      </c>
      <c r="D60" s="130">
        <v>965717833</v>
      </c>
      <c r="E60" s="76" t="s">
        <v>116</v>
      </c>
      <c r="F60" s="82" t="s">
        <v>222</v>
      </c>
      <c r="G60" s="66" t="s">
        <v>263</v>
      </c>
      <c r="H60" s="69">
        <v>1795</v>
      </c>
      <c r="I60" s="70"/>
      <c r="J60" s="70">
        <f t="shared" si="2"/>
        <v>5</v>
      </c>
      <c r="K60" s="70">
        <f t="shared" si="3"/>
        <v>29</v>
      </c>
    </row>
    <row r="61" spans="1:11" ht="20" customHeight="1" x14ac:dyDescent="0.2">
      <c r="A61" s="65">
        <v>26</v>
      </c>
      <c r="B61" s="120">
        <v>248945904</v>
      </c>
      <c r="C61" s="71" t="s">
        <v>192</v>
      </c>
      <c r="D61" s="132">
        <v>910232270</v>
      </c>
      <c r="E61" s="97" t="s">
        <v>193</v>
      </c>
      <c r="F61" s="73">
        <v>33024</v>
      </c>
      <c r="G61" s="71"/>
      <c r="H61" s="80" t="s">
        <v>315</v>
      </c>
      <c r="I61" s="70"/>
      <c r="J61" s="70">
        <f t="shared" si="2"/>
        <v>5</v>
      </c>
      <c r="K61" s="70">
        <f t="shared" si="3"/>
        <v>31</v>
      </c>
    </row>
    <row r="62" spans="1:11" ht="20" customHeight="1" x14ac:dyDescent="0.2">
      <c r="A62" s="65">
        <v>48</v>
      </c>
      <c r="B62" s="119">
        <v>120021552</v>
      </c>
      <c r="C62" s="98" t="s">
        <v>38</v>
      </c>
      <c r="D62" s="130">
        <v>919635959</v>
      </c>
      <c r="E62" s="58" t="s">
        <v>126</v>
      </c>
      <c r="F62" s="82">
        <v>18781</v>
      </c>
      <c r="G62" s="66" t="s">
        <v>272</v>
      </c>
      <c r="H62" s="69">
        <v>3622</v>
      </c>
      <c r="I62" s="70"/>
      <c r="J62" s="70">
        <f t="shared" si="2"/>
        <v>6</v>
      </c>
      <c r="K62" s="70">
        <f t="shared" si="3"/>
        <v>2</v>
      </c>
    </row>
    <row r="63" spans="1:11" ht="20" customHeight="1" x14ac:dyDescent="0.2">
      <c r="A63" s="65">
        <v>120</v>
      </c>
      <c r="B63" s="121">
        <v>202674592</v>
      </c>
      <c r="C63" s="66" t="s">
        <v>89</v>
      </c>
      <c r="D63" s="129">
        <v>967060746</v>
      </c>
      <c r="E63" s="99" t="s">
        <v>169</v>
      </c>
      <c r="F63" s="82" t="s">
        <v>226</v>
      </c>
      <c r="G63" s="93"/>
      <c r="H63" s="69">
        <v>3918</v>
      </c>
      <c r="I63" s="70" t="s">
        <v>189</v>
      </c>
      <c r="J63" s="70">
        <f t="shared" si="2"/>
        <v>6</v>
      </c>
      <c r="K63" s="70">
        <f t="shared" si="3"/>
        <v>3</v>
      </c>
    </row>
    <row r="64" spans="1:11" ht="20" customHeight="1" x14ac:dyDescent="0.2">
      <c r="A64" s="65">
        <v>14</v>
      </c>
      <c r="B64" s="120">
        <v>292564341</v>
      </c>
      <c r="C64" s="71" t="s">
        <v>322</v>
      </c>
      <c r="D64" s="131">
        <v>911167341</v>
      </c>
      <c r="E64" s="136" t="s">
        <v>323</v>
      </c>
      <c r="F64" s="73">
        <v>25358</v>
      </c>
      <c r="G64" s="74"/>
      <c r="H64" s="80" t="s">
        <v>315</v>
      </c>
      <c r="I64" s="70"/>
      <c r="J64" s="70">
        <f t="shared" si="2"/>
        <v>6</v>
      </c>
      <c r="K64" s="70">
        <f t="shared" si="3"/>
        <v>4</v>
      </c>
    </row>
    <row r="65" spans="1:11" ht="20" customHeight="1" x14ac:dyDescent="0.2">
      <c r="A65" s="65">
        <v>82</v>
      </c>
      <c r="B65" s="119">
        <v>142480924</v>
      </c>
      <c r="C65" s="66" t="s">
        <v>150</v>
      </c>
      <c r="D65" s="127">
        <v>938784075</v>
      </c>
      <c r="E65" s="67" t="s">
        <v>350</v>
      </c>
      <c r="F65" s="68">
        <v>17701</v>
      </c>
      <c r="G65" s="76" t="s">
        <v>287</v>
      </c>
      <c r="H65" s="69">
        <v>1705</v>
      </c>
      <c r="I65" s="70"/>
      <c r="J65" s="70">
        <f t="shared" si="2"/>
        <v>6</v>
      </c>
      <c r="K65" s="70">
        <f t="shared" si="3"/>
        <v>17</v>
      </c>
    </row>
    <row r="66" spans="1:11" ht="20" customHeight="1" x14ac:dyDescent="0.2">
      <c r="A66" s="65">
        <v>47</v>
      </c>
      <c r="B66" s="119">
        <v>208711775</v>
      </c>
      <c r="C66" s="66" t="s">
        <v>37</v>
      </c>
      <c r="D66" s="130">
        <v>964317090</v>
      </c>
      <c r="E66" s="66" t="s">
        <v>125</v>
      </c>
      <c r="F66" s="77">
        <v>26833</v>
      </c>
      <c r="G66" s="66" t="s">
        <v>271</v>
      </c>
      <c r="H66" s="69">
        <v>1495</v>
      </c>
      <c r="I66" s="70"/>
      <c r="J66" s="70">
        <f t="shared" si="2"/>
        <v>6</v>
      </c>
      <c r="K66" s="70">
        <f t="shared" si="3"/>
        <v>18</v>
      </c>
    </row>
    <row r="67" spans="1:11" ht="20" customHeight="1" x14ac:dyDescent="0.2">
      <c r="A67" s="65">
        <v>49</v>
      </c>
      <c r="B67" s="119">
        <v>174900040</v>
      </c>
      <c r="C67" s="66" t="s">
        <v>39</v>
      </c>
      <c r="D67" s="127">
        <v>964442745</v>
      </c>
      <c r="E67" s="67"/>
      <c r="F67" s="82">
        <v>22818</v>
      </c>
      <c r="G67" s="66" t="s">
        <v>273</v>
      </c>
      <c r="H67" s="69">
        <v>2921</v>
      </c>
      <c r="I67" s="70"/>
      <c r="J67" s="70">
        <f t="shared" ref="J67:J98" si="4">IF(F67="","",IF(ISNUMBER(F67),MONTH(F67),IFERROR(VALUE(MID(TRIM(F67),4,2)),"")))</f>
        <v>6</v>
      </c>
      <c r="K67" s="70">
        <f t="shared" ref="K67:K98" si="5">IF(F67="","",IF(ISNUMBER(F67),DAY(F67),IFERROR(VALUE(LEFT(TRIM(F67),2)),"")))</f>
        <v>21</v>
      </c>
    </row>
    <row r="68" spans="1:11" ht="20" customHeight="1" x14ac:dyDescent="0.2">
      <c r="A68" s="65">
        <v>58</v>
      </c>
      <c r="B68" s="119">
        <v>125414900</v>
      </c>
      <c r="C68" s="66" t="s">
        <v>46</v>
      </c>
      <c r="D68" s="130">
        <v>927746964</v>
      </c>
      <c r="E68" s="76" t="s">
        <v>132</v>
      </c>
      <c r="F68" s="82">
        <v>22456</v>
      </c>
      <c r="G68" s="101" t="s">
        <v>359</v>
      </c>
      <c r="H68" s="69">
        <v>901</v>
      </c>
      <c r="I68" s="70"/>
      <c r="J68" s="70">
        <f t="shared" si="4"/>
        <v>6</v>
      </c>
      <c r="K68" s="70">
        <f t="shared" si="5"/>
        <v>24</v>
      </c>
    </row>
    <row r="69" spans="1:11" ht="20" customHeight="1" x14ac:dyDescent="0.2">
      <c r="A69" s="65">
        <v>75</v>
      </c>
      <c r="B69" s="119">
        <v>138632863</v>
      </c>
      <c r="C69" s="66" t="s">
        <v>149</v>
      </c>
      <c r="D69" s="127">
        <v>965784816</v>
      </c>
      <c r="E69" s="76" t="s">
        <v>151</v>
      </c>
      <c r="F69" s="82">
        <v>18806</v>
      </c>
      <c r="G69" s="76" t="s">
        <v>285</v>
      </c>
      <c r="H69" s="69">
        <v>2630</v>
      </c>
      <c r="I69" s="70"/>
      <c r="J69" s="70">
        <f t="shared" si="4"/>
        <v>6</v>
      </c>
      <c r="K69" s="70">
        <f t="shared" si="5"/>
        <v>27</v>
      </c>
    </row>
    <row r="70" spans="1:11" ht="20" customHeight="1" x14ac:dyDescent="0.2">
      <c r="A70" s="65">
        <v>69</v>
      </c>
      <c r="B70" s="119">
        <v>220873003</v>
      </c>
      <c r="C70" s="93" t="s">
        <v>178</v>
      </c>
      <c r="D70" s="127">
        <v>916991857</v>
      </c>
      <c r="E70" s="67"/>
      <c r="F70" s="68">
        <v>28677</v>
      </c>
      <c r="G70" s="67"/>
      <c r="H70" s="69">
        <v>3412</v>
      </c>
      <c r="I70" s="70"/>
      <c r="J70" s="70">
        <f t="shared" si="4"/>
        <v>7</v>
      </c>
      <c r="K70" s="70">
        <f t="shared" si="5"/>
        <v>6</v>
      </c>
    </row>
    <row r="71" spans="1:11" ht="20" customHeight="1" x14ac:dyDescent="0.2">
      <c r="A71" s="65">
        <v>115</v>
      </c>
      <c r="B71" s="119">
        <v>198376596</v>
      </c>
      <c r="C71" s="66" t="s">
        <v>225</v>
      </c>
      <c r="D71" s="127"/>
      <c r="E71" s="67"/>
      <c r="F71" s="82">
        <v>12243</v>
      </c>
      <c r="G71" s="102"/>
      <c r="H71" s="103">
        <v>2</v>
      </c>
      <c r="I71" s="70"/>
      <c r="J71" s="70">
        <f t="shared" si="4"/>
        <v>7</v>
      </c>
      <c r="K71" s="70">
        <f t="shared" si="5"/>
        <v>8</v>
      </c>
    </row>
    <row r="72" spans="1:11" ht="20" customHeight="1" x14ac:dyDescent="0.2">
      <c r="A72" s="65">
        <v>110</v>
      </c>
      <c r="B72" s="120">
        <v>331375753</v>
      </c>
      <c r="C72" s="71" t="s">
        <v>324</v>
      </c>
      <c r="D72" s="131">
        <v>913792803</v>
      </c>
      <c r="E72" s="71" t="s">
        <v>208</v>
      </c>
      <c r="F72" s="73">
        <v>28691</v>
      </c>
      <c r="G72" s="71"/>
      <c r="H72" s="80" t="s">
        <v>315</v>
      </c>
      <c r="I72" s="70"/>
      <c r="J72" s="70">
        <f t="shared" si="4"/>
        <v>7</v>
      </c>
      <c r="K72" s="70">
        <f t="shared" si="5"/>
        <v>20</v>
      </c>
    </row>
    <row r="73" spans="1:11" ht="20" customHeight="1" x14ac:dyDescent="0.2">
      <c r="A73" s="65">
        <v>66</v>
      </c>
      <c r="B73" s="119">
        <v>188647099</v>
      </c>
      <c r="C73" s="66" t="s">
        <v>51</v>
      </c>
      <c r="D73" s="130">
        <v>961886841</v>
      </c>
      <c r="E73" s="76" t="s">
        <v>137</v>
      </c>
      <c r="F73" s="82">
        <v>24676</v>
      </c>
      <c r="G73" s="76" t="s">
        <v>281</v>
      </c>
      <c r="H73" s="90">
        <v>1523</v>
      </c>
      <c r="I73" s="70"/>
      <c r="J73" s="70">
        <f t="shared" si="4"/>
        <v>7</v>
      </c>
      <c r="K73" s="70">
        <f t="shared" si="5"/>
        <v>23</v>
      </c>
    </row>
    <row r="74" spans="1:11" ht="20" customHeight="1" x14ac:dyDescent="0.2">
      <c r="A74" s="65">
        <v>119</v>
      </c>
      <c r="B74" s="119">
        <v>252404785</v>
      </c>
      <c r="C74" s="66" t="s">
        <v>88</v>
      </c>
      <c r="D74" s="129">
        <v>965410964</v>
      </c>
      <c r="E74" s="76" t="s">
        <v>168</v>
      </c>
      <c r="F74" s="82">
        <v>29059</v>
      </c>
      <c r="G74" s="76" t="s">
        <v>302</v>
      </c>
      <c r="H74" s="69">
        <v>3931</v>
      </c>
      <c r="I74" s="70"/>
      <c r="J74" s="70">
        <f t="shared" si="4"/>
        <v>7</v>
      </c>
      <c r="K74" s="70">
        <f t="shared" si="5"/>
        <v>23</v>
      </c>
    </row>
    <row r="75" spans="1:11" ht="20" customHeight="1" x14ac:dyDescent="0.2">
      <c r="A75" s="65">
        <v>81</v>
      </c>
      <c r="B75" s="120">
        <v>144444364</v>
      </c>
      <c r="C75" s="71" t="s">
        <v>196</v>
      </c>
      <c r="D75" s="132">
        <v>965114252</v>
      </c>
      <c r="E75" s="71" t="s">
        <v>350</v>
      </c>
      <c r="F75" s="104">
        <v>17009</v>
      </c>
      <c r="G75" s="105"/>
      <c r="H75" s="80" t="s">
        <v>315</v>
      </c>
      <c r="I75" s="70"/>
      <c r="J75" s="70">
        <f t="shared" si="4"/>
        <v>7</v>
      </c>
      <c r="K75" s="70">
        <f t="shared" si="5"/>
        <v>26</v>
      </c>
    </row>
    <row r="76" spans="1:11" ht="20" customHeight="1" x14ac:dyDescent="0.2">
      <c r="A76" s="65">
        <v>16</v>
      </c>
      <c r="B76" s="119"/>
      <c r="C76" s="66" t="s">
        <v>13</v>
      </c>
      <c r="D76" s="130">
        <v>968504083</v>
      </c>
      <c r="E76" s="76" t="s">
        <v>109</v>
      </c>
      <c r="F76" s="82" t="s">
        <v>224</v>
      </c>
      <c r="G76" s="81"/>
      <c r="H76" s="69">
        <v>3939</v>
      </c>
      <c r="I76" s="70"/>
      <c r="J76" s="70">
        <f t="shared" si="4"/>
        <v>7</v>
      </c>
      <c r="K76" s="70">
        <f t="shared" si="5"/>
        <v>27</v>
      </c>
    </row>
    <row r="77" spans="1:11" ht="20" customHeight="1" x14ac:dyDescent="0.2">
      <c r="A77" s="65">
        <v>101</v>
      </c>
      <c r="B77" s="119"/>
      <c r="C77" s="66" t="s">
        <v>74</v>
      </c>
      <c r="D77" s="127">
        <v>933232810</v>
      </c>
      <c r="E77" s="67" t="s">
        <v>350</v>
      </c>
      <c r="F77" s="68">
        <v>17381</v>
      </c>
      <c r="G77" s="76" t="s">
        <v>296</v>
      </c>
      <c r="H77" s="69">
        <v>18</v>
      </c>
      <c r="I77" s="70"/>
      <c r="J77" s="70">
        <f t="shared" si="4"/>
        <v>8</v>
      </c>
      <c r="K77" s="70">
        <f t="shared" si="5"/>
        <v>2</v>
      </c>
    </row>
    <row r="78" spans="1:11" ht="20" customHeight="1" x14ac:dyDescent="0.2">
      <c r="A78" s="65">
        <v>94</v>
      </c>
      <c r="B78" s="119">
        <v>103420959</v>
      </c>
      <c r="C78" s="66" t="s">
        <v>69</v>
      </c>
      <c r="D78" s="127">
        <v>916864272</v>
      </c>
      <c r="E78" s="67" t="s">
        <v>353</v>
      </c>
      <c r="F78" s="68">
        <v>15924</v>
      </c>
      <c r="G78" s="67"/>
      <c r="H78" s="69">
        <v>3954</v>
      </c>
      <c r="I78" s="70"/>
      <c r="J78" s="70">
        <f t="shared" si="4"/>
        <v>8</v>
      </c>
      <c r="K78" s="70">
        <f t="shared" si="5"/>
        <v>6</v>
      </c>
    </row>
    <row r="79" spans="1:11" ht="20" customHeight="1" x14ac:dyDescent="0.2">
      <c r="A79" s="65">
        <v>124</v>
      </c>
      <c r="B79" s="120">
        <v>163674221</v>
      </c>
      <c r="C79" s="71" t="s">
        <v>341</v>
      </c>
      <c r="D79" s="131">
        <v>915094576</v>
      </c>
      <c r="E79" s="72" t="s">
        <v>342</v>
      </c>
      <c r="F79" s="73">
        <v>27978</v>
      </c>
      <c r="G79" s="106"/>
      <c r="H79" s="100" t="s">
        <v>315</v>
      </c>
      <c r="I79" s="70"/>
      <c r="J79" s="70">
        <f t="shared" si="4"/>
        <v>8</v>
      </c>
      <c r="K79" s="70">
        <f t="shared" si="5"/>
        <v>6</v>
      </c>
    </row>
    <row r="80" spans="1:11" ht="20" customHeight="1" x14ac:dyDescent="0.2">
      <c r="A80" s="65">
        <v>95</v>
      </c>
      <c r="B80" s="119">
        <v>142486884</v>
      </c>
      <c r="C80" s="66" t="s">
        <v>162</v>
      </c>
      <c r="D80" s="129">
        <v>962426894</v>
      </c>
      <c r="E80" s="76" t="s">
        <v>163</v>
      </c>
      <c r="F80" s="82" t="s">
        <v>228</v>
      </c>
      <c r="G80" s="76" t="s">
        <v>293</v>
      </c>
      <c r="H80" s="69">
        <v>3103</v>
      </c>
      <c r="I80" s="70"/>
      <c r="J80" s="70">
        <f t="shared" si="4"/>
        <v>8</v>
      </c>
      <c r="K80" s="70">
        <f t="shared" si="5"/>
        <v>10</v>
      </c>
    </row>
    <row r="81" spans="1:11" ht="20" customHeight="1" x14ac:dyDescent="0.2">
      <c r="A81" s="65">
        <v>34</v>
      </c>
      <c r="B81" s="119">
        <v>178523097</v>
      </c>
      <c r="C81" s="66" t="s">
        <v>182</v>
      </c>
      <c r="D81" s="129">
        <v>925355963</v>
      </c>
      <c r="E81" s="76" t="s">
        <v>158</v>
      </c>
      <c r="F81" s="82">
        <v>23602</v>
      </c>
      <c r="G81" s="66" t="s">
        <v>265</v>
      </c>
      <c r="H81" s="69">
        <v>1130</v>
      </c>
      <c r="I81" s="70"/>
      <c r="J81" s="70">
        <f t="shared" si="4"/>
        <v>8</v>
      </c>
      <c r="K81" s="70">
        <f t="shared" si="5"/>
        <v>13</v>
      </c>
    </row>
    <row r="82" spans="1:11" ht="20" customHeight="1" x14ac:dyDescent="0.2">
      <c r="A82" s="65">
        <v>114</v>
      </c>
      <c r="B82" s="119">
        <v>242131352</v>
      </c>
      <c r="C82" s="66" t="s">
        <v>84</v>
      </c>
      <c r="D82" s="129">
        <v>964389194</v>
      </c>
      <c r="E82" s="76" t="s">
        <v>167</v>
      </c>
      <c r="F82" s="82" t="s">
        <v>229</v>
      </c>
      <c r="G82" s="93"/>
      <c r="H82" s="69">
        <v>3436</v>
      </c>
      <c r="I82" s="70"/>
      <c r="J82" s="70">
        <f t="shared" si="4"/>
        <v>8</v>
      </c>
      <c r="K82" s="70">
        <f t="shared" si="5"/>
        <v>14</v>
      </c>
    </row>
    <row r="83" spans="1:11" ht="20" customHeight="1" x14ac:dyDescent="0.2">
      <c r="A83" s="65">
        <v>126</v>
      </c>
      <c r="B83" s="120">
        <v>224930508</v>
      </c>
      <c r="C83" s="95" t="s">
        <v>304</v>
      </c>
      <c r="D83" s="128">
        <v>912920575</v>
      </c>
      <c r="E83" s="107" t="s">
        <v>321</v>
      </c>
      <c r="F83" s="73">
        <v>35661</v>
      </c>
      <c r="G83" s="71" t="s">
        <v>305</v>
      </c>
      <c r="H83" s="80" t="s">
        <v>315</v>
      </c>
      <c r="I83" s="70"/>
      <c r="J83" s="70">
        <f t="shared" si="4"/>
        <v>8</v>
      </c>
      <c r="K83" s="70">
        <f t="shared" si="5"/>
        <v>19</v>
      </c>
    </row>
    <row r="84" spans="1:11" ht="20" customHeight="1" x14ac:dyDescent="0.2">
      <c r="A84" s="65">
        <v>127</v>
      </c>
      <c r="B84" s="119">
        <v>222815663</v>
      </c>
      <c r="C84" s="66" t="s">
        <v>90</v>
      </c>
      <c r="D84" s="129">
        <v>966584913</v>
      </c>
      <c r="E84" s="76" t="s">
        <v>171</v>
      </c>
      <c r="F84" s="82">
        <v>29093</v>
      </c>
      <c r="G84" s="76" t="s">
        <v>303</v>
      </c>
      <c r="H84" s="69">
        <v>1496</v>
      </c>
      <c r="I84" s="70"/>
      <c r="J84" s="70">
        <f t="shared" si="4"/>
        <v>8</v>
      </c>
      <c r="K84" s="70">
        <f t="shared" si="5"/>
        <v>26</v>
      </c>
    </row>
    <row r="85" spans="1:11" ht="20" customHeight="1" x14ac:dyDescent="0.2">
      <c r="A85" s="65">
        <v>138</v>
      </c>
      <c r="B85" s="119">
        <v>220398291</v>
      </c>
      <c r="C85" s="66" t="s">
        <v>97</v>
      </c>
      <c r="D85" s="127">
        <v>912690959</v>
      </c>
      <c r="E85" s="76" t="s">
        <v>206</v>
      </c>
      <c r="F85" s="82">
        <v>28004</v>
      </c>
      <c r="G85" s="78" t="s">
        <v>309</v>
      </c>
      <c r="H85" s="69">
        <v>2861</v>
      </c>
      <c r="I85" s="70"/>
      <c r="J85" s="70">
        <f t="shared" si="4"/>
        <v>9</v>
      </c>
      <c r="K85" s="70">
        <f t="shared" si="5"/>
        <v>1</v>
      </c>
    </row>
    <row r="86" spans="1:11" ht="20" customHeight="1" x14ac:dyDescent="0.2">
      <c r="A86" s="65">
        <v>4</v>
      </c>
      <c r="B86" s="119">
        <v>207198667</v>
      </c>
      <c r="C86" s="66" t="s">
        <v>3</v>
      </c>
      <c r="D86" s="127">
        <v>917972654</v>
      </c>
      <c r="E86" s="67" t="s">
        <v>104</v>
      </c>
      <c r="F86" s="82">
        <v>30197</v>
      </c>
      <c r="G86" s="79"/>
      <c r="H86" s="69">
        <v>3952</v>
      </c>
      <c r="I86" s="70" t="s">
        <v>325</v>
      </c>
      <c r="J86" s="70">
        <f t="shared" si="4"/>
        <v>9</v>
      </c>
      <c r="K86" s="70">
        <f t="shared" si="5"/>
        <v>3</v>
      </c>
    </row>
    <row r="87" spans="1:11" ht="20" customHeight="1" x14ac:dyDescent="0.2">
      <c r="A87" s="65">
        <v>103</v>
      </c>
      <c r="B87" s="119">
        <v>123765323</v>
      </c>
      <c r="C87" s="66" t="s">
        <v>76</v>
      </c>
      <c r="D87" s="129">
        <v>962544544</v>
      </c>
      <c r="E87" s="76" t="s">
        <v>107</v>
      </c>
      <c r="F87" s="82" t="s">
        <v>234</v>
      </c>
      <c r="G87" s="76" t="s">
        <v>297</v>
      </c>
      <c r="H87" s="69">
        <v>3652</v>
      </c>
      <c r="I87" s="70"/>
      <c r="J87" s="70">
        <f t="shared" si="4"/>
        <v>9</v>
      </c>
      <c r="K87" s="70">
        <f t="shared" si="5"/>
        <v>12</v>
      </c>
    </row>
    <row r="88" spans="1:11" ht="20" customHeight="1" x14ac:dyDescent="0.2">
      <c r="A88" s="65">
        <v>45</v>
      </c>
      <c r="B88" s="119">
        <v>152406468</v>
      </c>
      <c r="C88" s="66" t="s">
        <v>35</v>
      </c>
      <c r="D88" s="127">
        <v>913103663</v>
      </c>
      <c r="E88" s="67"/>
      <c r="F88" s="82" t="s">
        <v>231</v>
      </c>
      <c r="G88" s="66" t="s">
        <v>270</v>
      </c>
      <c r="H88" s="69">
        <v>1415</v>
      </c>
      <c r="I88" s="70"/>
      <c r="J88" s="70">
        <f t="shared" si="4"/>
        <v>9</v>
      </c>
      <c r="K88" s="70">
        <f t="shared" si="5"/>
        <v>20</v>
      </c>
    </row>
    <row r="89" spans="1:11" ht="20" customHeight="1" x14ac:dyDescent="0.2">
      <c r="A89" s="65">
        <v>70</v>
      </c>
      <c r="B89" s="119">
        <v>193925648</v>
      </c>
      <c r="C89" s="66" t="s">
        <v>53</v>
      </c>
      <c r="D89" s="127">
        <v>918521773</v>
      </c>
      <c r="E89" s="76" t="s">
        <v>185</v>
      </c>
      <c r="F89" s="82" t="s">
        <v>232</v>
      </c>
      <c r="G89" s="93"/>
      <c r="H89" s="69">
        <v>1904</v>
      </c>
      <c r="I89" s="70"/>
      <c r="J89" s="70">
        <f t="shared" si="4"/>
        <v>9</v>
      </c>
      <c r="K89" s="70">
        <f t="shared" si="5"/>
        <v>22</v>
      </c>
    </row>
    <row r="90" spans="1:11" ht="20" customHeight="1" x14ac:dyDescent="0.2">
      <c r="A90" s="65">
        <v>107</v>
      </c>
      <c r="B90" s="119">
        <v>219346836</v>
      </c>
      <c r="C90" s="66" t="s">
        <v>78</v>
      </c>
      <c r="D90" s="127">
        <v>967835745</v>
      </c>
      <c r="E90" s="76" t="s">
        <v>165</v>
      </c>
      <c r="F90" s="82" t="s">
        <v>235</v>
      </c>
      <c r="G90" s="76" t="s">
        <v>299</v>
      </c>
      <c r="H90" s="69">
        <v>3538</v>
      </c>
      <c r="I90" s="70"/>
      <c r="J90" s="70">
        <f t="shared" si="4"/>
        <v>9</v>
      </c>
      <c r="K90" s="70">
        <f t="shared" si="5"/>
        <v>22</v>
      </c>
    </row>
    <row r="91" spans="1:11" ht="20" customHeight="1" x14ac:dyDescent="0.2">
      <c r="A91" s="65">
        <v>1</v>
      </c>
      <c r="B91" s="119">
        <v>194416232</v>
      </c>
      <c r="C91" s="66" t="s">
        <v>1</v>
      </c>
      <c r="D91" s="130">
        <v>966750406</v>
      </c>
      <c r="E91" s="67" t="s">
        <v>103</v>
      </c>
      <c r="F91" s="82" t="s">
        <v>230</v>
      </c>
      <c r="G91" s="66" t="s">
        <v>252</v>
      </c>
      <c r="H91" s="69">
        <v>2969</v>
      </c>
      <c r="I91" s="70"/>
      <c r="J91" s="70">
        <f t="shared" si="4"/>
        <v>9</v>
      </c>
      <c r="K91" s="70">
        <f t="shared" si="5"/>
        <v>23</v>
      </c>
    </row>
    <row r="92" spans="1:11" ht="20" customHeight="1" x14ac:dyDescent="0.2">
      <c r="A92" s="65">
        <v>78</v>
      </c>
      <c r="B92" s="119">
        <v>163744033</v>
      </c>
      <c r="C92" s="66" t="s">
        <v>60</v>
      </c>
      <c r="D92" s="127">
        <v>962943167</v>
      </c>
      <c r="E92" s="67"/>
      <c r="F92" s="82" t="s">
        <v>233</v>
      </c>
      <c r="G92" s="93"/>
      <c r="H92" s="69">
        <v>3927</v>
      </c>
      <c r="I92" s="70"/>
      <c r="J92" s="70">
        <f t="shared" si="4"/>
        <v>9</v>
      </c>
      <c r="K92" s="70">
        <f t="shared" si="5"/>
        <v>29</v>
      </c>
    </row>
    <row r="93" spans="1:11" ht="20" customHeight="1" x14ac:dyDescent="0.2">
      <c r="A93" s="65">
        <v>111</v>
      </c>
      <c r="B93" s="120">
        <v>225930587</v>
      </c>
      <c r="C93" s="71" t="s">
        <v>81</v>
      </c>
      <c r="D93" s="131">
        <v>963330510</v>
      </c>
      <c r="E93" s="108" t="s">
        <v>365</v>
      </c>
      <c r="F93" s="109">
        <v>29501</v>
      </c>
      <c r="G93" s="85"/>
      <c r="H93" s="80" t="s">
        <v>335</v>
      </c>
      <c r="I93" s="70"/>
      <c r="J93" s="70">
        <f t="shared" si="4"/>
        <v>10</v>
      </c>
      <c r="K93" s="70">
        <f t="shared" si="5"/>
        <v>7</v>
      </c>
    </row>
    <row r="94" spans="1:11" ht="20" customHeight="1" x14ac:dyDescent="0.2">
      <c r="A94" s="65">
        <v>134</v>
      </c>
      <c r="B94" s="120">
        <v>188913587</v>
      </c>
      <c r="C94" s="71" t="s">
        <v>204</v>
      </c>
      <c r="D94" s="132">
        <v>918139017</v>
      </c>
      <c r="E94" s="71" t="s">
        <v>205</v>
      </c>
      <c r="F94" s="73">
        <v>25118</v>
      </c>
      <c r="G94" s="71"/>
      <c r="H94" s="80" t="s">
        <v>315</v>
      </c>
      <c r="I94" s="70"/>
      <c r="J94" s="70">
        <f t="shared" si="4"/>
        <v>10</v>
      </c>
      <c r="K94" s="70">
        <f t="shared" si="5"/>
        <v>7</v>
      </c>
    </row>
    <row r="95" spans="1:11" ht="20" customHeight="1" x14ac:dyDescent="0.2">
      <c r="A95" s="65">
        <v>121</v>
      </c>
      <c r="B95" s="122">
        <v>203389662</v>
      </c>
      <c r="C95" s="66" t="s">
        <v>363</v>
      </c>
      <c r="D95" s="134">
        <v>932529800</v>
      </c>
      <c r="E95" s="66" t="s">
        <v>170</v>
      </c>
      <c r="F95" s="77" t="s">
        <v>227</v>
      </c>
      <c r="G95" s="81"/>
      <c r="H95" s="69">
        <v>1554</v>
      </c>
      <c r="I95" s="70"/>
      <c r="J95" s="70">
        <f t="shared" si="4"/>
        <v>10</v>
      </c>
      <c r="K95" s="70">
        <f t="shared" si="5"/>
        <v>8</v>
      </c>
    </row>
    <row r="96" spans="1:11" ht="20" customHeight="1" x14ac:dyDescent="0.2">
      <c r="A96" s="65">
        <v>137</v>
      </c>
      <c r="B96" s="119" t="s">
        <v>188</v>
      </c>
      <c r="C96" s="66" t="s">
        <v>96</v>
      </c>
      <c r="D96" s="127" t="s">
        <v>189</v>
      </c>
      <c r="E96" s="76" t="s">
        <v>190</v>
      </c>
      <c r="F96" s="82" t="s">
        <v>236</v>
      </c>
      <c r="G96" s="93"/>
      <c r="H96" s="69">
        <v>3951</v>
      </c>
      <c r="I96" s="70" t="s">
        <v>325</v>
      </c>
      <c r="J96" s="70">
        <f t="shared" si="4"/>
        <v>10</v>
      </c>
      <c r="K96" s="70">
        <f t="shared" si="5"/>
        <v>11</v>
      </c>
    </row>
    <row r="97" spans="1:11" ht="20" customHeight="1" x14ac:dyDescent="0.2">
      <c r="A97" s="65">
        <v>140</v>
      </c>
      <c r="B97" s="119">
        <v>128971967</v>
      </c>
      <c r="C97" s="66" t="s">
        <v>99</v>
      </c>
      <c r="D97" s="129">
        <v>919518077</v>
      </c>
      <c r="E97" s="88" t="s">
        <v>175</v>
      </c>
      <c r="F97" s="82">
        <v>14898</v>
      </c>
      <c r="G97" s="78" t="s">
        <v>311</v>
      </c>
      <c r="H97" s="69">
        <v>190</v>
      </c>
      <c r="I97" s="70"/>
      <c r="J97" s="70">
        <f t="shared" si="4"/>
        <v>10</v>
      </c>
      <c r="K97" s="70">
        <f t="shared" si="5"/>
        <v>14</v>
      </c>
    </row>
    <row r="98" spans="1:11" ht="20" customHeight="1" x14ac:dyDescent="0.2">
      <c r="A98" s="65">
        <v>9</v>
      </c>
      <c r="B98" s="119">
        <v>163182558</v>
      </c>
      <c r="C98" s="66" t="s">
        <v>7</v>
      </c>
      <c r="D98" s="130">
        <v>963748014</v>
      </c>
      <c r="E98" s="67" t="s">
        <v>353</v>
      </c>
      <c r="F98" s="77">
        <v>21108</v>
      </c>
      <c r="G98" s="79"/>
      <c r="H98" s="69">
        <v>3966</v>
      </c>
      <c r="I98" s="70"/>
      <c r="J98" s="70">
        <f t="shared" si="4"/>
        <v>10</v>
      </c>
      <c r="K98" s="70">
        <f t="shared" si="5"/>
        <v>15</v>
      </c>
    </row>
    <row r="99" spans="1:11" ht="20" customHeight="1" x14ac:dyDescent="0.2">
      <c r="A99" s="65">
        <v>38</v>
      </c>
      <c r="B99" s="119">
        <v>153316780</v>
      </c>
      <c r="C99" s="66" t="s">
        <v>29</v>
      </c>
      <c r="D99" s="127">
        <v>966314453</v>
      </c>
      <c r="E99" s="67" t="s">
        <v>350</v>
      </c>
      <c r="F99" s="68">
        <v>17095</v>
      </c>
      <c r="G99" s="67"/>
      <c r="H99" s="69">
        <v>2576</v>
      </c>
      <c r="I99" s="70"/>
      <c r="J99" s="70">
        <f t="shared" ref="J99:J130" si="6">IF(F99="","",IF(ISNUMBER(F99),MONTH(F99),IFERROR(VALUE(MID(TRIM(F99),4,2)),"")))</f>
        <v>10</v>
      </c>
      <c r="K99" s="70">
        <f t="shared" ref="K99:K130" si="7">IF(F99="","",IF(ISNUMBER(F99),DAY(F99),IFERROR(VALUE(LEFT(TRIM(F99),2)),"")))</f>
        <v>20</v>
      </c>
    </row>
    <row r="100" spans="1:11" ht="20" customHeight="1" x14ac:dyDescent="0.2">
      <c r="A100" s="65">
        <v>96</v>
      </c>
      <c r="B100" s="119">
        <v>169977889</v>
      </c>
      <c r="C100" s="66" t="s">
        <v>70</v>
      </c>
      <c r="D100" s="130">
        <v>963731073</v>
      </c>
      <c r="E100" s="76" t="s">
        <v>143</v>
      </c>
      <c r="F100" s="82">
        <v>21478</v>
      </c>
      <c r="G100" s="76"/>
      <c r="H100" s="69">
        <v>3551</v>
      </c>
      <c r="I100" s="70"/>
      <c r="J100" s="70">
        <f t="shared" si="6"/>
        <v>10</v>
      </c>
      <c r="K100" s="70">
        <f t="shared" si="7"/>
        <v>20</v>
      </c>
    </row>
    <row r="101" spans="1:11" ht="20" customHeight="1" x14ac:dyDescent="0.2">
      <c r="A101" s="65">
        <v>43</v>
      </c>
      <c r="B101" s="119">
        <v>103359710</v>
      </c>
      <c r="C101" s="66" t="s">
        <v>33</v>
      </c>
      <c r="D101" s="130">
        <v>967795626</v>
      </c>
      <c r="E101" s="76" t="s">
        <v>123</v>
      </c>
      <c r="F101" s="82" t="s">
        <v>237</v>
      </c>
      <c r="G101" s="66" t="s">
        <v>269</v>
      </c>
      <c r="H101" s="69">
        <v>942</v>
      </c>
      <c r="I101" s="70"/>
      <c r="J101" s="70">
        <f t="shared" si="6"/>
        <v>10</v>
      </c>
      <c r="K101" s="70">
        <f t="shared" si="7"/>
        <v>21</v>
      </c>
    </row>
    <row r="102" spans="1:11" ht="20" customHeight="1" x14ac:dyDescent="0.2">
      <c r="A102" s="65">
        <v>128</v>
      </c>
      <c r="B102" s="119">
        <v>108411168</v>
      </c>
      <c r="C102" s="66" t="s">
        <v>91</v>
      </c>
      <c r="D102" s="127">
        <v>966857340</v>
      </c>
      <c r="E102" s="67"/>
      <c r="F102" s="82" t="s">
        <v>238</v>
      </c>
      <c r="G102" s="93"/>
      <c r="H102" s="69">
        <v>3013</v>
      </c>
      <c r="I102" s="70"/>
      <c r="J102" s="70">
        <f t="shared" si="6"/>
        <v>10</v>
      </c>
      <c r="K102" s="70">
        <f t="shared" si="7"/>
        <v>24</v>
      </c>
    </row>
    <row r="103" spans="1:11" ht="20" customHeight="1" x14ac:dyDescent="0.2">
      <c r="A103" s="65">
        <v>15</v>
      </c>
      <c r="B103" s="119">
        <v>130486850</v>
      </c>
      <c r="C103" s="66" t="s">
        <v>12</v>
      </c>
      <c r="D103" s="127">
        <v>936970079</v>
      </c>
      <c r="E103" s="67" t="s">
        <v>353</v>
      </c>
      <c r="F103" s="82" t="s">
        <v>239</v>
      </c>
      <c r="G103" s="66" t="s">
        <v>257</v>
      </c>
      <c r="H103" s="69">
        <v>333</v>
      </c>
      <c r="I103" s="70"/>
      <c r="J103" s="70">
        <f t="shared" si="6"/>
        <v>10</v>
      </c>
      <c r="K103" s="70">
        <f t="shared" si="7"/>
        <v>25</v>
      </c>
    </row>
    <row r="104" spans="1:11" ht="20" customHeight="1" x14ac:dyDescent="0.2">
      <c r="A104" s="65">
        <v>71</v>
      </c>
      <c r="B104" s="119">
        <v>183160563</v>
      </c>
      <c r="C104" s="96" t="s">
        <v>54</v>
      </c>
      <c r="D104" s="127">
        <v>962863547</v>
      </c>
      <c r="E104" s="67"/>
      <c r="F104" s="82" t="s">
        <v>240</v>
      </c>
      <c r="G104" s="93"/>
      <c r="H104" s="69">
        <v>3905</v>
      </c>
      <c r="I104" s="70"/>
      <c r="J104" s="70">
        <f t="shared" si="6"/>
        <v>10</v>
      </c>
      <c r="K104" s="70">
        <f t="shared" si="7"/>
        <v>26</v>
      </c>
    </row>
    <row r="105" spans="1:11" ht="20" customHeight="1" x14ac:dyDescent="0.2">
      <c r="A105" s="65">
        <v>79</v>
      </c>
      <c r="B105" s="119">
        <v>118998811</v>
      </c>
      <c r="C105" s="66" t="s">
        <v>61</v>
      </c>
      <c r="D105" s="130">
        <v>966449439</v>
      </c>
      <c r="E105" s="76" t="s">
        <v>148</v>
      </c>
      <c r="F105" s="82">
        <v>16379</v>
      </c>
      <c r="G105" s="102"/>
      <c r="H105" s="69">
        <v>280</v>
      </c>
      <c r="I105" s="70"/>
      <c r="J105" s="70">
        <f t="shared" si="6"/>
        <v>11</v>
      </c>
      <c r="K105" s="70">
        <f t="shared" si="7"/>
        <v>3</v>
      </c>
    </row>
    <row r="106" spans="1:11" ht="20" customHeight="1" x14ac:dyDescent="0.2">
      <c r="A106" s="65">
        <v>133</v>
      </c>
      <c r="B106" s="120">
        <v>246487542</v>
      </c>
      <c r="C106" s="66" t="s">
        <v>95</v>
      </c>
      <c r="D106" s="129">
        <v>969903340</v>
      </c>
      <c r="E106" s="76" t="s">
        <v>173</v>
      </c>
      <c r="F106" s="82">
        <v>26973</v>
      </c>
      <c r="G106" s="102"/>
      <c r="H106" s="69">
        <v>1522</v>
      </c>
      <c r="I106" s="70"/>
      <c r="J106" s="70">
        <f t="shared" si="6"/>
        <v>11</v>
      </c>
      <c r="K106" s="70">
        <f t="shared" si="7"/>
        <v>5</v>
      </c>
    </row>
    <row r="107" spans="1:11" ht="20" customHeight="1" x14ac:dyDescent="0.2">
      <c r="A107" s="65">
        <v>61</v>
      </c>
      <c r="B107" s="119">
        <v>187543143</v>
      </c>
      <c r="C107" s="66" t="s">
        <v>339</v>
      </c>
      <c r="D107" s="130">
        <v>966060903</v>
      </c>
      <c r="E107" s="94" t="s">
        <v>340</v>
      </c>
      <c r="F107" s="89">
        <v>25516</v>
      </c>
      <c r="G107" s="76"/>
      <c r="H107" s="69"/>
      <c r="I107" s="70"/>
      <c r="J107" s="70">
        <f t="shared" si="6"/>
        <v>11</v>
      </c>
      <c r="K107" s="70">
        <f t="shared" si="7"/>
        <v>9</v>
      </c>
    </row>
    <row r="108" spans="1:11" ht="20" customHeight="1" x14ac:dyDescent="0.2">
      <c r="A108" s="65">
        <v>28</v>
      </c>
      <c r="B108" s="119">
        <v>132904179</v>
      </c>
      <c r="C108" s="66" t="s">
        <v>21</v>
      </c>
      <c r="D108" s="127">
        <v>962564960</v>
      </c>
      <c r="E108" s="76" t="s">
        <v>115</v>
      </c>
      <c r="F108" s="82" t="s">
        <v>241</v>
      </c>
      <c r="G108" s="66" t="s">
        <v>262</v>
      </c>
      <c r="H108" s="69">
        <v>1723</v>
      </c>
      <c r="I108" s="70"/>
      <c r="J108" s="70">
        <f t="shared" si="6"/>
        <v>11</v>
      </c>
      <c r="K108" s="70">
        <f t="shared" si="7"/>
        <v>10</v>
      </c>
    </row>
    <row r="109" spans="1:11" ht="20" customHeight="1" x14ac:dyDescent="0.2">
      <c r="A109" s="65">
        <v>42</v>
      </c>
      <c r="B109" s="120">
        <v>233190872</v>
      </c>
      <c r="C109" s="71" t="s">
        <v>32</v>
      </c>
      <c r="D109" s="132">
        <v>912960175</v>
      </c>
      <c r="E109" s="71" t="s">
        <v>140</v>
      </c>
      <c r="F109" s="73">
        <v>36111</v>
      </c>
      <c r="G109" s="71"/>
      <c r="H109" s="80" t="s">
        <v>315</v>
      </c>
      <c r="I109" s="70"/>
      <c r="J109" s="70">
        <f t="shared" si="6"/>
        <v>11</v>
      </c>
      <c r="K109" s="70">
        <f t="shared" si="7"/>
        <v>12</v>
      </c>
    </row>
    <row r="110" spans="1:11" ht="20" customHeight="1" x14ac:dyDescent="0.2">
      <c r="A110" s="65">
        <v>63</v>
      </c>
      <c r="B110" s="119"/>
      <c r="C110" s="66" t="s">
        <v>49</v>
      </c>
      <c r="D110" s="127"/>
      <c r="E110" s="66" t="s">
        <v>135</v>
      </c>
      <c r="F110" s="77">
        <v>18946</v>
      </c>
      <c r="G110" s="76" t="s">
        <v>279</v>
      </c>
      <c r="H110" s="69">
        <v>478</v>
      </c>
      <c r="I110" s="70"/>
      <c r="J110" s="70">
        <f t="shared" si="6"/>
        <v>11</v>
      </c>
      <c r="K110" s="70">
        <f t="shared" si="7"/>
        <v>14</v>
      </c>
    </row>
    <row r="111" spans="1:11" ht="20" customHeight="1" x14ac:dyDescent="0.2">
      <c r="A111" s="65">
        <v>6</v>
      </c>
      <c r="B111" s="119">
        <v>211736520</v>
      </c>
      <c r="C111" s="66" t="s">
        <v>5</v>
      </c>
      <c r="D111" s="130">
        <v>962544544</v>
      </c>
      <c r="E111" s="76" t="s">
        <v>107</v>
      </c>
      <c r="F111" s="82">
        <v>27715</v>
      </c>
      <c r="G111" s="66" t="s">
        <v>254</v>
      </c>
      <c r="H111" s="69">
        <v>3640</v>
      </c>
      <c r="I111" s="70"/>
      <c r="J111" s="70">
        <f t="shared" si="6"/>
        <v>11</v>
      </c>
      <c r="K111" s="70">
        <f t="shared" si="7"/>
        <v>17</v>
      </c>
    </row>
    <row r="112" spans="1:11" ht="20" customHeight="1" x14ac:dyDescent="0.2">
      <c r="A112" s="65">
        <v>139</v>
      </c>
      <c r="B112" s="119">
        <v>211603937</v>
      </c>
      <c r="C112" s="66" t="s">
        <v>98</v>
      </c>
      <c r="D112" s="129">
        <v>919227991</v>
      </c>
      <c r="E112" s="76" t="s">
        <v>174</v>
      </c>
      <c r="F112" s="82" t="s">
        <v>242</v>
      </c>
      <c r="G112" s="78" t="s">
        <v>310</v>
      </c>
      <c r="H112" s="69">
        <v>2831</v>
      </c>
      <c r="I112" s="70"/>
      <c r="J112" s="70">
        <f t="shared" si="6"/>
        <v>11</v>
      </c>
      <c r="K112" s="70">
        <f t="shared" si="7"/>
        <v>17</v>
      </c>
    </row>
    <row r="113" spans="1:11" ht="20" customHeight="1" x14ac:dyDescent="0.2">
      <c r="A113" s="65">
        <v>93</v>
      </c>
      <c r="B113" s="119">
        <v>100566685</v>
      </c>
      <c r="C113" s="66" t="s">
        <v>161</v>
      </c>
      <c r="D113" s="127">
        <v>964355979</v>
      </c>
      <c r="E113" s="67" t="s">
        <v>353</v>
      </c>
      <c r="F113" s="68">
        <v>13108</v>
      </c>
      <c r="G113" s="67"/>
      <c r="H113" s="69">
        <v>36</v>
      </c>
      <c r="I113" s="70"/>
      <c r="J113" s="70">
        <f t="shared" si="6"/>
        <v>11</v>
      </c>
      <c r="K113" s="70">
        <f t="shared" si="7"/>
        <v>20</v>
      </c>
    </row>
    <row r="114" spans="1:11" ht="20" customHeight="1" x14ac:dyDescent="0.2">
      <c r="A114" s="65">
        <v>108</v>
      </c>
      <c r="B114" s="119">
        <v>120021580</v>
      </c>
      <c r="C114" s="66" t="s">
        <v>79</v>
      </c>
      <c r="D114" s="129">
        <v>967835745</v>
      </c>
      <c r="E114" s="76"/>
      <c r="F114" s="82" t="s">
        <v>243</v>
      </c>
      <c r="G114" s="76" t="s">
        <v>300</v>
      </c>
      <c r="H114" s="69">
        <v>1020</v>
      </c>
      <c r="I114" s="70"/>
      <c r="J114" s="70">
        <f t="shared" si="6"/>
        <v>11</v>
      </c>
      <c r="K114" s="70">
        <f t="shared" si="7"/>
        <v>30</v>
      </c>
    </row>
    <row r="115" spans="1:11" ht="20" customHeight="1" x14ac:dyDescent="0.2">
      <c r="A115" s="65">
        <v>104</v>
      </c>
      <c r="B115" s="119">
        <v>143749021</v>
      </c>
      <c r="C115" s="66" t="s">
        <v>77</v>
      </c>
      <c r="D115" s="129">
        <v>934842815</v>
      </c>
      <c r="E115" s="76" t="s">
        <v>164</v>
      </c>
      <c r="F115" s="82" t="s">
        <v>244</v>
      </c>
      <c r="G115" s="76" t="s">
        <v>298</v>
      </c>
      <c r="H115" s="69">
        <v>2940</v>
      </c>
      <c r="I115" s="70"/>
      <c r="J115" s="70">
        <f t="shared" si="6"/>
        <v>12</v>
      </c>
      <c r="K115" s="70">
        <f t="shared" si="7"/>
        <v>7</v>
      </c>
    </row>
    <row r="116" spans="1:11" ht="20" customHeight="1" x14ac:dyDescent="0.2">
      <c r="A116" s="65">
        <v>105</v>
      </c>
      <c r="B116" s="119"/>
      <c r="C116" s="90" t="s">
        <v>327</v>
      </c>
      <c r="D116" s="132">
        <v>932930357</v>
      </c>
      <c r="E116" s="72" t="s">
        <v>343</v>
      </c>
      <c r="F116" s="73">
        <v>27370</v>
      </c>
      <c r="G116" s="71"/>
      <c r="H116" s="80" t="s">
        <v>315</v>
      </c>
      <c r="I116" s="70"/>
      <c r="J116" s="70">
        <f t="shared" si="6"/>
        <v>12</v>
      </c>
      <c r="K116" s="70">
        <f t="shared" si="7"/>
        <v>7</v>
      </c>
    </row>
    <row r="117" spans="1:11" ht="20" customHeight="1" x14ac:dyDescent="0.2">
      <c r="A117" s="65">
        <v>131</v>
      </c>
      <c r="B117" s="120">
        <v>291146060</v>
      </c>
      <c r="C117" s="71" t="s">
        <v>251</v>
      </c>
      <c r="D117" s="132" t="s">
        <v>189</v>
      </c>
      <c r="E117" s="107" t="s">
        <v>320</v>
      </c>
      <c r="F117" s="73">
        <v>36137</v>
      </c>
      <c r="G117" s="106"/>
      <c r="H117" s="80" t="s">
        <v>315</v>
      </c>
      <c r="I117" s="70"/>
      <c r="J117" s="70">
        <f t="shared" si="6"/>
        <v>12</v>
      </c>
      <c r="K117" s="70">
        <f t="shared" si="7"/>
        <v>8</v>
      </c>
    </row>
    <row r="118" spans="1:11" ht="20" customHeight="1" x14ac:dyDescent="0.2">
      <c r="A118" s="65">
        <v>52</v>
      </c>
      <c r="B118" s="120">
        <v>164863958</v>
      </c>
      <c r="C118" s="110" t="s">
        <v>177</v>
      </c>
      <c r="D118" s="131">
        <v>965172599</v>
      </c>
      <c r="E118" s="71" t="s">
        <v>141</v>
      </c>
      <c r="F118" s="73" t="s">
        <v>245</v>
      </c>
      <c r="G118" s="111"/>
      <c r="H118" s="75" t="s">
        <v>313</v>
      </c>
      <c r="I118" s="70" t="s">
        <v>317</v>
      </c>
      <c r="J118" s="70">
        <f t="shared" si="6"/>
        <v>12</v>
      </c>
      <c r="K118" s="70">
        <f t="shared" si="7"/>
        <v>9</v>
      </c>
    </row>
    <row r="119" spans="1:11" ht="20" customHeight="1" x14ac:dyDescent="0.2">
      <c r="A119" s="65">
        <v>36</v>
      </c>
      <c r="B119" s="119">
        <v>240638417</v>
      </c>
      <c r="C119" s="66" t="s">
        <v>27</v>
      </c>
      <c r="D119" s="130">
        <v>913031688</v>
      </c>
      <c r="E119" s="76" t="s">
        <v>120</v>
      </c>
      <c r="F119" s="82" t="s">
        <v>246</v>
      </c>
      <c r="G119" s="66" t="s">
        <v>267</v>
      </c>
      <c r="H119" s="69">
        <v>2760</v>
      </c>
      <c r="I119" s="70"/>
      <c r="J119" s="70">
        <f t="shared" si="6"/>
        <v>12</v>
      </c>
      <c r="K119" s="70">
        <f t="shared" si="7"/>
        <v>13</v>
      </c>
    </row>
    <row r="120" spans="1:11" ht="20" customHeight="1" x14ac:dyDescent="0.2">
      <c r="A120" s="65">
        <v>57</v>
      </c>
      <c r="B120" s="119">
        <v>119030519</v>
      </c>
      <c r="C120" s="66" t="s">
        <v>45</v>
      </c>
      <c r="D120" s="127">
        <v>964294024</v>
      </c>
      <c r="E120" s="67"/>
      <c r="F120" s="68">
        <v>20447</v>
      </c>
      <c r="G120" s="67"/>
      <c r="H120" s="69">
        <v>3957</v>
      </c>
      <c r="I120" s="70"/>
      <c r="J120" s="70">
        <f t="shared" si="6"/>
        <v>12</v>
      </c>
      <c r="K120" s="70">
        <f t="shared" si="7"/>
        <v>24</v>
      </c>
    </row>
    <row r="121" spans="1:11" ht="20" customHeight="1" x14ac:dyDescent="0.2">
      <c r="A121" s="65">
        <v>51</v>
      </c>
      <c r="B121" s="119">
        <v>118255029</v>
      </c>
      <c r="C121" s="66" t="s">
        <v>128</v>
      </c>
      <c r="D121" s="127">
        <v>968256989</v>
      </c>
      <c r="E121" s="67"/>
      <c r="F121" s="82" t="s">
        <v>247</v>
      </c>
      <c r="G121" s="66" t="s">
        <v>275</v>
      </c>
      <c r="H121" s="69">
        <v>1456</v>
      </c>
      <c r="I121" s="70"/>
      <c r="J121" s="70">
        <f t="shared" si="6"/>
        <v>12</v>
      </c>
      <c r="K121" s="70">
        <f t="shared" si="7"/>
        <v>25</v>
      </c>
    </row>
    <row r="122" spans="1:11" ht="20" customHeight="1" x14ac:dyDescent="0.2">
      <c r="A122" s="65">
        <v>37</v>
      </c>
      <c r="B122" s="119">
        <v>164858920</v>
      </c>
      <c r="C122" s="66" t="s">
        <v>28</v>
      </c>
      <c r="D122" s="127">
        <v>963489280</v>
      </c>
      <c r="E122" s="76" t="s">
        <v>121</v>
      </c>
      <c r="F122" s="82" t="s">
        <v>248</v>
      </c>
      <c r="G122" s="112"/>
      <c r="H122" s="69">
        <v>3428</v>
      </c>
      <c r="I122" s="70"/>
      <c r="J122" s="70">
        <f t="shared" si="6"/>
        <v>12</v>
      </c>
      <c r="K122" s="70">
        <f t="shared" si="7"/>
        <v>30</v>
      </c>
    </row>
    <row r="123" spans="1:11" ht="20" customHeight="1" x14ac:dyDescent="0.2">
      <c r="A123" s="65">
        <v>3</v>
      </c>
      <c r="B123" s="123"/>
      <c r="C123" s="66" t="s">
        <v>2</v>
      </c>
      <c r="D123" s="127"/>
      <c r="E123" s="67"/>
      <c r="F123" s="68"/>
      <c r="G123" s="67"/>
      <c r="H123" s="103">
        <v>1</v>
      </c>
      <c r="I123" s="70"/>
      <c r="J123" s="70" t="str">
        <f t="shared" si="6"/>
        <v/>
      </c>
      <c r="K123" s="70" t="str">
        <f t="shared" si="7"/>
        <v/>
      </c>
    </row>
    <row r="124" spans="1:11" ht="20" customHeight="1" x14ac:dyDescent="0.2">
      <c r="A124" s="65">
        <v>7</v>
      </c>
      <c r="B124" s="119"/>
      <c r="C124" s="66" t="s">
        <v>6</v>
      </c>
      <c r="D124" s="129">
        <v>919451168</v>
      </c>
      <c r="E124" s="67"/>
      <c r="F124" s="68"/>
      <c r="G124" s="67"/>
      <c r="H124" s="69">
        <v>1793</v>
      </c>
      <c r="I124" s="70"/>
      <c r="J124" s="70" t="str">
        <f t="shared" si="6"/>
        <v/>
      </c>
      <c r="K124" s="70" t="str">
        <f t="shared" si="7"/>
        <v/>
      </c>
    </row>
    <row r="125" spans="1:11" ht="20" customHeight="1" x14ac:dyDescent="0.2">
      <c r="A125" s="65">
        <v>8</v>
      </c>
      <c r="B125" s="119">
        <v>216202477</v>
      </c>
      <c r="C125" s="66" t="s">
        <v>191</v>
      </c>
      <c r="D125" s="129">
        <v>913352977</v>
      </c>
      <c r="E125" s="113" t="s">
        <v>356</v>
      </c>
      <c r="F125" s="82"/>
      <c r="G125" s="66"/>
      <c r="H125" s="69">
        <v>3497</v>
      </c>
      <c r="I125" s="70"/>
      <c r="J125" s="70" t="str">
        <f t="shared" si="6"/>
        <v/>
      </c>
      <c r="K125" s="70" t="str">
        <f t="shared" si="7"/>
        <v/>
      </c>
    </row>
    <row r="126" spans="1:11" ht="20" customHeight="1" x14ac:dyDescent="0.2">
      <c r="A126" s="114">
        <v>18</v>
      </c>
      <c r="B126" s="121">
        <v>218090579</v>
      </c>
      <c r="C126" s="66" t="s">
        <v>14</v>
      </c>
      <c r="D126" s="127">
        <v>914661325</v>
      </c>
      <c r="E126" s="115" t="s">
        <v>318</v>
      </c>
      <c r="F126" s="77"/>
      <c r="G126" s="66" t="s">
        <v>331</v>
      </c>
      <c r="H126" s="69">
        <v>3808</v>
      </c>
      <c r="I126" s="116" t="s">
        <v>333</v>
      </c>
      <c r="J126" s="116" t="str">
        <f t="shared" si="6"/>
        <v/>
      </c>
      <c r="K126" s="116" t="str">
        <f t="shared" si="7"/>
        <v/>
      </c>
    </row>
    <row r="127" spans="1:11" ht="20" customHeight="1" x14ac:dyDescent="0.2">
      <c r="A127" s="65">
        <v>19</v>
      </c>
      <c r="B127" s="119">
        <v>206072090</v>
      </c>
      <c r="C127" s="66" t="s">
        <v>207</v>
      </c>
      <c r="D127" s="130">
        <v>938362446</v>
      </c>
      <c r="E127" s="76" t="s">
        <v>110</v>
      </c>
      <c r="F127" s="82"/>
      <c r="G127" s="66"/>
      <c r="H127" s="69">
        <v>3971</v>
      </c>
      <c r="I127" s="70"/>
      <c r="J127" s="70" t="str">
        <f t="shared" si="6"/>
        <v/>
      </c>
      <c r="K127" s="70" t="str">
        <f t="shared" si="7"/>
        <v/>
      </c>
    </row>
    <row r="128" spans="1:11" ht="20" customHeight="1" x14ac:dyDescent="0.2">
      <c r="A128" s="65">
        <v>23</v>
      </c>
      <c r="B128" s="119"/>
      <c r="C128" s="66" t="s">
        <v>18</v>
      </c>
      <c r="D128" s="130">
        <v>935949176</v>
      </c>
      <c r="E128" s="67"/>
      <c r="F128" s="68"/>
      <c r="G128" s="66" t="s">
        <v>260</v>
      </c>
      <c r="H128" s="69">
        <v>1350</v>
      </c>
      <c r="I128" s="70"/>
      <c r="J128" s="70" t="str">
        <f t="shared" si="6"/>
        <v/>
      </c>
      <c r="K128" s="70" t="str">
        <f t="shared" si="7"/>
        <v/>
      </c>
    </row>
    <row r="129" spans="1:11" ht="20" customHeight="1" x14ac:dyDescent="0.2">
      <c r="A129" s="65">
        <v>25</v>
      </c>
      <c r="B129" s="119">
        <v>230872760</v>
      </c>
      <c r="C129" s="66" t="s">
        <v>20</v>
      </c>
      <c r="D129" s="130">
        <v>915848789</v>
      </c>
      <c r="E129" s="76" t="s">
        <v>114</v>
      </c>
      <c r="F129" s="82"/>
      <c r="G129" s="66" t="s">
        <v>261</v>
      </c>
      <c r="H129" s="69">
        <v>3922</v>
      </c>
      <c r="I129" s="70"/>
      <c r="J129" s="70" t="str">
        <f t="shared" si="6"/>
        <v/>
      </c>
      <c r="K129" s="70" t="str">
        <f t="shared" si="7"/>
        <v/>
      </c>
    </row>
    <row r="130" spans="1:11" ht="20" customHeight="1" x14ac:dyDescent="0.2">
      <c r="A130" s="65">
        <v>27</v>
      </c>
      <c r="B130" s="120">
        <v>272012572</v>
      </c>
      <c r="C130" s="71" t="s">
        <v>194</v>
      </c>
      <c r="D130" s="132">
        <v>934517228</v>
      </c>
      <c r="E130" s="71" t="s">
        <v>195</v>
      </c>
      <c r="F130" s="73"/>
      <c r="G130" s="71"/>
      <c r="H130" s="80" t="s">
        <v>315</v>
      </c>
      <c r="I130" s="70"/>
      <c r="J130" s="70" t="str">
        <f t="shared" si="6"/>
        <v/>
      </c>
      <c r="K130" s="70" t="str">
        <f t="shared" si="7"/>
        <v/>
      </c>
    </row>
    <row r="131" spans="1:11" ht="20" customHeight="1" x14ac:dyDescent="0.2">
      <c r="A131" s="65">
        <v>33</v>
      </c>
      <c r="B131" s="119">
        <v>204748801</v>
      </c>
      <c r="C131" s="66" t="s">
        <v>25</v>
      </c>
      <c r="D131" s="130">
        <v>965781869</v>
      </c>
      <c r="E131" s="76" t="s">
        <v>118</v>
      </c>
      <c r="F131" s="82"/>
      <c r="G131" s="66"/>
      <c r="H131" s="69">
        <v>3921</v>
      </c>
      <c r="I131" s="70"/>
      <c r="J131" s="70" t="str">
        <f t="shared" ref="J131:J142" si="8">IF(F131="","",IF(ISNUMBER(F131),MONTH(F131),IFERROR(VALUE(MID(TRIM(F131),4,2)),"")))</f>
        <v/>
      </c>
      <c r="K131" s="70" t="str">
        <f t="shared" ref="K131:K142" si="9">IF(F131="","",IF(ISNUMBER(F131),DAY(F131),IFERROR(VALUE(LEFT(TRIM(F131),2)),"")))</f>
        <v/>
      </c>
    </row>
    <row r="132" spans="1:11" ht="20" customHeight="1" x14ac:dyDescent="0.2">
      <c r="A132" s="65">
        <v>41</v>
      </c>
      <c r="B132" s="119"/>
      <c r="C132" s="66" t="s">
        <v>329</v>
      </c>
      <c r="D132" s="130">
        <v>968143639</v>
      </c>
      <c r="E132" s="76"/>
      <c r="F132" s="83"/>
      <c r="G132" s="66"/>
      <c r="H132" s="69">
        <v>1249</v>
      </c>
      <c r="I132" s="70" t="s">
        <v>328</v>
      </c>
      <c r="J132" s="70" t="str">
        <f t="shared" si="8"/>
        <v/>
      </c>
      <c r="K132" s="70" t="str">
        <f t="shared" si="9"/>
        <v/>
      </c>
    </row>
    <row r="133" spans="1:11" ht="20" customHeight="1" x14ac:dyDescent="0.2">
      <c r="A133" s="65">
        <v>50</v>
      </c>
      <c r="B133" s="119">
        <v>201510162</v>
      </c>
      <c r="C133" s="96" t="s">
        <v>40</v>
      </c>
      <c r="D133" s="127">
        <v>914902151</v>
      </c>
      <c r="E133" s="76" t="s">
        <v>127</v>
      </c>
      <c r="F133" s="82"/>
      <c r="G133" s="66" t="s">
        <v>274</v>
      </c>
      <c r="H133" s="69">
        <v>3816</v>
      </c>
      <c r="I133" s="70"/>
      <c r="J133" s="70" t="str">
        <f t="shared" si="8"/>
        <v/>
      </c>
      <c r="K133" s="70" t="str">
        <f t="shared" si="9"/>
        <v/>
      </c>
    </row>
    <row r="134" spans="1:11" ht="20" customHeight="1" x14ac:dyDescent="0.2">
      <c r="A134" s="65">
        <v>55</v>
      </c>
      <c r="B134" s="120">
        <v>212319361</v>
      </c>
      <c r="C134" s="71" t="s">
        <v>43</v>
      </c>
      <c r="D134" s="131">
        <v>917763609</v>
      </c>
      <c r="E134" s="71" t="s">
        <v>183</v>
      </c>
      <c r="F134" s="73"/>
      <c r="G134" s="71" t="s">
        <v>332</v>
      </c>
      <c r="H134" s="80" t="s">
        <v>315</v>
      </c>
      <c r="I134" s="70" t="s">
        <v>333</v>
      </c>
      <c r="J134" s="70" t="str">
        <f t="shared" si="8"/>
        <v/>
      </c>
      <c r="K134" s="70" t="str">
        <f t="shared" si="9"/>
        <v/>
      </c>
    </row>
    <row r="135" spans="1:11" ht="20" customHeight="1" x14ac:dyDescent="0.2">
      <c r="A135" s="65">
        <v>73</v>
      </c>
      <c r="B135" s="119">
        <v>128315679</v>
      </c>
      <c r="C135" s="66" t="s">
        <v>56</v>
      </c>
      <c r="D135" s="130">
        <v>936680469</v>
      </c>
      <c r="E135" s="76" t="s">
        <v>147</v>
      </c>
      <c r="F135" s="82"/>
      <c r="G135" s="76"/>
      <c r="H135" s="69">
        <v>1507</v>
      </c>
      <c r="I135" s="70"/>
      <c r="J135" s="70" t="str">
        <f t="shared" si="8"/>
        <v/>
      </c>
      <c r="K135" s="70" t="str">
        <f t="shared" si="9"/>
        <v/>
      </c>
    </row>
    <row r="136" spans="1:11" ht="20" customHeight="1" x14ac:dyDescent="0.2">
      <c r="A136" s="65">
        <v>80</v>
      </c>
      <c r="B136" s="120">
        <v>124129412</v>
      </c>
      <c r="C136" s="71" t="s">
        <v>152</v>
      </c>
      <c r="D136" s="132">
        <v>926373167</v>
      </c>
      <c r="E136" s="71" t="s">
        <v>153</v>
      </c>
      <c r="F136" s="73"/>
      <c r="G136" s="71"/>
      <c r="H136" s="80" t="s">
        <v>315</v>
      </c>
      <c r="I136" s="70"/>
      <c r="J136" s="70" t="str">
        <f t="shared" si="8"/>
        <v/>
      </c>
      <c r="K136" s="70" t="str">
        <f t="shared" si="9"/>
        <v/>
      </c>
    </row>
    <row r="137" spans="1:11" ht="20" customHeight="1" x14ac:dyDescent="0.2">
      <c r="A137" s="65">
        <v>87</v>
      </c>
      <c r="B137" s="120">
        <v>154459593</v>
      </c>
      <c r="C137" s="71" t="s">
        <v>197</v>
      </c>
      <c r="D137" s="132">
        <v>969644285</v>
      </c>
      <c r="E137" s="71" t="s">
        <v>198</v>
      </c>
      <c r="F137" s="73"/>
      <c r="G137" s="71"/>
      <c r="H137" s="80" t="s">
        <v>315</v>
      </c>
      <c r="I137" s="70"/>
      <c r="J137" s="70" t="str">
        <f t="shared" si="8"/>
        <v/>
      </c>
      <c r="K137" s="70" t="str">
        <f t="shared" si="9"/>
        <v/>
      </c>
    </row>
    <row r="138" spans="1:11" ht="20" customHeight="1" x14ac:dyDescent="0.2">
      <c r="A138" s="65">
        <v>90</v>
      </c>
      <c r="B138" s="119">
        <v>108437000</v>
      </c>
      <c r="C138" s="66" t="s">
        <v>67</v>
      </c>
      <c r="D138" s="127">
        <v>935898595</v>
      </c>
      <c r="E138" s="76" t="s">
        <v>186</v>
      </c>
      <c r="F138" s="82"/>
      <c r="G138" s="76" t="s">
        <v>291</v>
      </c>
      <c r="H138" s="69">
        <v>2711</v>
      </c>
      <c r="I138" s="70"/>
      <c r="J138" s="70" t="str">
        <f t="shared" si="8"/>
        <v/>
      </c>
      <c r="K138" s="70" t="str">
        <f t="shared" si="9"/>
        <v/>
      </c>
    </row>
    <row r="139" spans="1:11" ht="20" customHeight="1" x14ac:dyDescent="0.2">
      <c r="A139" s="65">
        <v>97</v>
      </c>
      <c r="B139" s="120">
        <v>159720249</v>
      </c>
      <c r="C139" s="95" t="s">
        <v>199</v>
      </c>
      <c r="D139" s="132">
        <v>933232686</v>
      </c>
      <c r="E139" s="71" t="s">
        <v>200</v>
      </c>
      <c r="F139" s="73"/>
      <c r="G139" s="71"/>
      <c r="H139" s="80" t="s">
        <v>315</v>
      </c>
      <c r="I139" s="70"/>
      <c r="J139" s="70" t="str">
        <f t="shared" si="8"/>
        <v/>
      </c>
      <c r="K139" s="70" t="str">
        <f t="shared" si="9"/>
        <v/>
      </c>
    </row>
    <row r="140" spans="1:11" ht="20" customHeight="1" x14ac:dyDescent="0.2">
      <c r="A140" s="65">
        <v>109</v>
      </c>
      <c r="B140" s="120">
        <v>133586529</v>
      </c>
      <c r="C140" s="71" t="s">
        <v>80</v>
      </c>
      <c r="D140" s="131">
        <v>962720763</v>
      </c>
      <c r="E140" s="71" t="s">
        <v>187</v>
      </c>
      <c r="F140" s="73"/>
      <c r="G140" s="71"/>
      <c r="H140" s="80" t="s">
        <v>335</v>
      </c>
      <c r="I140" s="70"/>
      <c r="J140" s="70" t="str">
        <f t="shared" si="8"/>
        <v/>
      </c>
      <c r="K140" s="70" t="str">
        <f t="shared" si="9"/>
        <v/>
      </c>
    </row>
    <row r="141" spans="1:11" ht="20" customHeight="1" x14ac:dyDescent="0.2">
      <c r="A141" s="65">
        <v>125</v>
      </c>
      <c r="B141" s="120">
        <v>183751442</v>
      </c>
      <c r="C141" s="71" t="s">
        <v>201</v>
      </c>
      <c r="D141" s="131" t="s">
        <v>188</v>
      </c>
      <c r="E141" s="85" t="s">
        <v>189</v>
      </c>
      <c r="F141" s="109"/>
      <c r="G141" s="85"/>
      <c r="H141" s="80" t="s">
        <v>336</v>
      </c>
      <c r="I141" s="70"/>
      <c r="J141" s="70" t="str">
        <f t="shared" si="8"/>
        <v/>
      </c>
      <c r="K141" s="70" t="str">
        <f t="shared" si="9"/>
        <v/>
      </c>
    </row>
    <row r="142" spans="1:11" ht="20" customHeight="1" x14ac:dyDescent="0.2">
      <c r="A142" s="65">
        <v>135</v>
      </c>
      <c r="B142" s="120">
        <v>188913587</v>
      </c>
      <c r="C142" s="71" t="s">
        <v>202</v>
      </c>
      <c r="D142" s="131">
        <v>961799309</v>
      </c>
      <c r="E142" s="71" t="s">
        <v>203</v>
      </c>
      <c r="F142" s="73"/>
      <c r="G142" s="71"/>
      <c r="H142" s="80" t="s">
        <v>315</v>
      </c>
      <c r="I142" s="70"/>
      <c r="J142" s="70" t="str">
        <f t="shared" si="8"/>
        <v/>
      </c>
      <c r="K142" s="70" t="str">
        <f t="shared" si="9"/>
        <v/>
      </c>
    </row>
    <row r="143" spans="1:11" x14ac:dyDescent="0.2">
      <c r="E143" s="1"/>
      <c r="F143" s="1"/>
      <c r="G143" s="25"/>
      <c r="H143" s="1"/>
    </row>
  </sheetData>
  <sortState xmlns:xlrd2="http://schemas.microsoft.com/office/spreadsheetml/2017/richdata2" ref="C4:H139">
    <sortCondition ref="C3"/>
  </sortState>
  <hyperlinks>
    <hyperlink ref="E91" r:id="rId1" display="mailto:abraaott@gmail.com" xr:uid="{00000000-0004-0000-0000-000000000000}"/>
    <hyperlink ref="E86" r:id="rId2" display="mailto:alipio@decorsofas.pt" xr:uid="{00000000-0004-0000-0000-000001000000}"/>
    <hyperlink ref="D95" r:id="rId3" display="callto:932 529 800" xr:uid="{00000000-0004-0000-0000-000002000000}"/>
    <hyperlink ref="E4" r:id="rId4" xr:uid="{00000000-0004-0000-0000-000003000000}"/>
    <hyperlink ref="E79" r:id="rId5" xr:uid="{00000000-0004-0000-0000-000004000000}"/>
    <hyperlink ref="E116" r:id="rId6" xr:uid="{00000000-0004-0000-0000-000005000000}"/>
    <hyperlink ref="E31" r:id="rId7" xr:uid="{00000000-0004-0000-0000-000006000000}"/>
    <hyperlink ref="E29" r:id="rId8" xr:uid="{00000000-0004-0000-0000-000007000000}"/>
    <hyperlink ref="E47" r:id="rId9" xr:uid="{00000000-0004-0000-0000-000008000000}"/>
    <hyperlink ref="E125" r:id="rId10" xr:uid="{00000000-0004-0000-0000-000009000000}"/>
    <hyperlink ref="E93" r:id="rId11" xr:uid="{7215F93C-137D-4698-9971-DB96086688B3}"/>
    <hyperlink ref="E62" r:id="rId12" xr:uid="{6061E208-7245-AD4A-8615-4C03F70E1A85}"/>
    <hyperlink ref="E64" r:id="rId13" xr:uid="{0EBB2555-E6FA-5947-9BF7-5404C9FAC912}"/>
  </hyperlinks>
  <pageMargins left="0.25" right="0.25" top="0.75" bottom="0.75" header="0.3" footer="0.3"/>
  <pageSetup paperSize="9" scale="50" fitToHeight="10" orientation="landscape" r:id="rId14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79E1-1FA4-CD41-B23A-62AB55013F60}">
  <sheetPr>
    <pageSetUpPr fitToPage="1"/>
  </sheetPr>
  <dimension ref="A1:G143"/>
  <sheetViews>
    <sheetView tabSelected="1" workbookViewId="0">
      <selection activeCell="A2" sqref="A2"/>
    </sheetView>
  </sheetViews>
  <sheetFormatPr baseColWidth="10" defaultRowHeight="16" x14ac:dyDescent="0.2"/>
  <cols>
    <col min="1" max="1" width="83.33203125" bestFit="1" customWidth="1"/>
    <col min="2" max="2" width="13.6640625" style="135" bestFit="1" customWidth="1"/>
    <col min="3" max="3" width="44.6640625" bestFit="1" customWidth="1"/>
    <col min="4" max="4" width="23.1640625" customWidth="1"/>
    <col min="5" max="5" width="30.1640625" style="26" bestFit="1" customWidth="1"/>
    <col min="6" max="6" width="12.83203125" customWidth="1"/>
    <col min="7" max="7" width="13.1640625" customWidth="1"/>
  </cols>
  <sheetData>
    <row r="1" spans="1:7" ht="31" x14ac:dyDescent="0.2">
      <c r="A1" s="23" t="s">
        <v>330</v>
      </c>
      <c r="B1" s="125"/>
      <c r="C1" s="23"/>
      <c r="D1" s="23"/>
      <c r="E1" s="24"/>
    </row>
    <row r="2" spans="1:7" ht="44" x14ac:dyDescent="0.2">
      <c r="A2" s="163" t="s">
        <v>0</v>
      </c>
      <c r="B2" s="164" t="s">
        <v>101</v>
      </c>
      <c r="C2" s="165" t="s">
        <v>102</v>
      </c>
      <c r="D2" s="163" t="s">
        <v>210</v>
      </c>
      <c r="E2" s="166" t="s">
        <v>250</v>
      </c>
      <c r="F2" s="165" t="s">
        <v>368</v>
      </c>
      <c r="G2" s="165" t="s">
        <v>369</v>
      </c>
    </row>
    <row r="3" spans="1:7" ht="21" x14ac:dyDescent="0.25">
      <c r="A3" s="137" t="s">
        <v>59</v>
      </c>
      <c r="B3" s="138">
        <v>213954306</v>
      </c>
      <c r="C3" s="139"/>
      <c r="D3" s="140">
        <v>16072</v>
      </c>
      <c r="E3" s="139"/>
      <c r="F3" s="167">
        <v>1</v>
      </c>
      <c r="G3" s="153">
        <v>1</v>
      </c>
    </row>
    <row r="4" spans="1:7" ht="21" x14ac:dyDescent="0.25">
      <c r="A4" s="137" t="s">
        <v>337</v>
      </c>
      <c r="B4" s="141">
        <v>915498051</v>
      </c>
      <c r="C4" s="142" t="s">
        <v>338</v>
      </c>
      <c r="D4" s="143">
        <v>28859</v>
      </c>
      <c r="E4" s="144"/>
      <c r="F4" s="167">
        <v>1</v>
      </c>
      <c r="G4" s="153">
        <v>4</v>
      </c>
    </row>
    <row r="5" spans="1:7" ht="21" x14ac:dyDescent="0.25">
      <c r="A5" s="137" t="s">
        <v>93</v>
      </c>
      <c r="B5" s="145">
        <v>913328645</v>
      </c>
      <c r="C5" s="137" t="s">
        <v>172</v>
      </c>
      <c r="D5" s="143">
        <v>28494</v>
      </c>
      <c r="E5" s="162" t="s">
        <v>307</v>
      </c>
      <c r="F5" s="167">
        <v>1</v>
      </c>
      <c r="G5" s="153">
        <v>4</v>
      </c>
    </row>
    <row r="6" spans="1:7" ht="21" x14ac:dyDescent="0.25">
      <c r="A6" s="137" t="s">
        <v>65</v>
      </c>
      <c r="B6" s="138">
        <v>917427513</v>
      </c>
      <c r="C6" s="137" t="s">
        <v>157</v>
      </c>
      <c r="D6" s="143">
        <v>25214</v>
      </c>
      <c r="E6" s="146"/>
      <c r="F6" s="167">
        <v>1</v>
      </c>
      <c r="G6" s="153">
        <v>11</v>
      </c>
    </row>
    <row r="7" spans="1:7" ht="21" x14ac:dyDescent="0.25">
      <c r="A7" s="137" t="s">
        <v>85</v>
      </c>
      <c r="B7" s="138">
        <v>965602747</v>
      </c>
      <c r="C7" s="139"/>
      <c r="D7" s="143">
        <v>28866</v>
      </c>
      <c r="E7" s="146"/>
      <c r="F7" s="167">
        <v>1</v>
      </c>
      <c r="G7" s="153">
        <v>11</v>
      </c>
    </row>
    <row r="8" spans="1:7" ht="21" x14ac:dyDescent="0.25">
      <c r="A8" s="137" t="s">
        <v>319</v>
      </c>
      <c r="B8" s="141">
        <v>919783014</v>
      </c>
      <c r="C8" s="137" t="s">
        <v>209</v>
      </c>
      <c r="D8" s="143">
        <v>25214</v>
      </c>
      <c r="E8" s="137"/>
      <c r="F8" s="167">
        <v>1</v>
      </c>
      <c r="G8" s="153">
        <v>11</v>
      </c>
    </row>
    <row r="9" spans="1:7" ht="21" x14ac:dyDescent="0.25">
      <c r="A9" s="137" t="s">
        <v>58</v>
      </c>
      <c r="B9" s="138">
        <v>939426249</v>
      </c>
      <c r="C9" s="139" t="s">
        <v>353</v>
      </c>
      <c r="D9" s="140" t="s">
        <v>354</v>
      </c>
      <c r="E9" s="139"/>
      <c r="F9" s="167">
        <v>1</v>
      </c>
      <c r="G9" s="153">
        <v>14</v>
      </c>
    </row>
    <row r="10" spans="1:7" ht="21" x14ac:dyDescent="0.25">
      <c r="A10" s="137" t="s">
        <v>11</v>
      </c>
      <c r="B10" s="138">
        <v>963458269</v>
      </c>
      <c r="C10" s="137" t="s">
        <v>180</v>
      </c>
      <c r="D10" s="143" t="s">
        <v>211</v>
      </c>
      <c r="E10" s="144"/>
      <c r="F10" s="167">
        <v>1</v>
      </c>
      <c r="G10" s="153">
        <v>15</v>
      </c>
    </row>
    <row r="11" spans="1:7" ht="21" x14ac:dyDescent="0.25">
      <c r="A11" s="137" t="s">
        <v>87</v>
      </c>
      <c r="B11" s="138">
        <v>967031599</v>
      </c>
      <c r="C11" s="139"/>
      <c r="D11" s="143">
        <v>17549</v>
      </c>
      <c r="E11" s="146" t="s">
        <v>314</v>
      </c>
      <c r="F11" s="167">
        <v>1</v>
      </c>
      <c r="G11" s="153">
        <v>17</v>
      </c>
    </row>
    <row r="12" spans="1:7" ht="21" x14ac:dyDescent="0.25">
      <c r="A12" s="137" t="s">
        <v>82</v>
      </c>
      <c r="B12" s="145">
        <v>924261503</v>
      </c>
      <c r="C12" s="137" t="s">
        <v>166</v>
      </c>
      <c r="D12" s="143">
        <v>32899</v>
      </c>
      <c r="E12" s="137" t="s">
        <v>301</v>
      </c>
      <c r="F12" s="167">
        <v>1</v>
      </c>
      <c r="G12" s="153">
        <v>26</v>
      </c>
    </row>
    <row r="13" spans="1:7" ht="21" x14ac:dyDescent="0.25">
      <c r="A13" s="137" t="s">
        <v>72</v>
      </c>
      <c r="B13" s="145">
        <v>914820070</v>
      </c>
      <c r="C13" s="137" t="s">
        <v>145</v>
      </c>
      <c r="D13" s="143">
        <v>16831</v>
      </c>
      <c r="E13" s="146"/>
      <c r="F13" s="167">
        <v>1</v>
      </c>
      <c r="G13" s="153">
        <v>29</v>
      </c>
    </row>
    <row r="14" spans="1:7" ht="21" x14ac:dyDescent="0.25">
      <c r="A14" s="137" t="s">
        <v>9</v>
      </c>
      <c r="B14" s="138">
        <v>967920416</v>
      </c>
      <c r="C14" s="139" t="s">
        <v>353</v>
      </c>
      <c r="D14" s="140">
        <v>23773</v>
      </c>
      <c r="E14" s="139" t="s">
        <v>256</v>
      </c>
      <c r="F14" s="167">
        <v>1</v>
      </c>
      <c r="G14" s="153">
        <v>31</v>
      </c>
    </row>
    <row r="15" spans="1:7" ht="21" x14ac:dyDescent="0.25">
      <c r="A15" s="137" t="s">
        <v>23</v>
      </c>
      <c r="B15" s="138">
        <v>914049605</v>
      </c>
      <c r="C15" s="137" t="s">
        <v>181</v>
      </c>
      <c r="D15" s="143" t="s">
        <v>357</v>
      </c>
      <c r="E15" s="137" t="s">
        <v>264</v>
      </c>
      <c r="F15" s="168">
        <v>2</v>
      </c>
      <c r="G15" s="153">
        <v>1</v>
      </c>
    </row>
    <row r="16" spans="1:7" ht="21" x14ac:dyDescent="0.25">
      <c r="A16" s="137" t="s">
        <v>30</v>
      </c>
      <c r="B16" s="138">
        <v>936322791</v>
      </c>
      <c r="C16" s="139" t="s">
        <v>355</v>
      </c>
      <c r="D16" s="147">
        <v>19392</v>
      </c>
      <c r="E16" s="148"/>
      <c r="F16" s="168">
        <v>2</v>
      </c>
      <c r="G16" s="153">
        <v>2</v>
      </c>
    </row>
    <row r="17" spans="1:7" ht="21" x14ac:dyDescent="0.25">
      <c r="A17" s="137" t="s">
        <v>52</v>
      </c>
      <c r="B17" s="138">
        <v>913103663</v>
      </c>
      <c r="C17" s="139"/>
      <c r="D17" s="147">
        <v>16470</v>
      </c>
      <c r="E17" s="137" t="s">
        <v>282</v>
      </c>
      <c r="F17" s="168">
        <v>2</v>
      </c>
      <c r="G17" s="153">
        <v>2</v>
      </c>
    </row>
    <row r="18" spans="1:7" ht="21" x14ac:dyDescent="0.25">
      <c r="A18" s="137" t="s">
        <v>26</v>
      </c>
      <c r="B18" s="145">
        <v>910295764</v>
      </c>
      <c r="C18" s="137" t="s">
        <v>119</v>
      </c>
      <c r="D18" s="147">
        <v>32543</v>
      </c>
      <c r="E18" s="137" t="s">
        <v>266</v>
      </c>
      <c r="F18" s="168">
        <v>2</v>
      </c>
      <c r="G18" s="153">
        <v>4</v>
      </c>
    </row>
    <row r="19" spans="1:7" ht="21" x14ac:dyDescent="0.25">
      <c r="A19" s="137" t="s">
        <v>68</v>
      </c>
      <c r="B19" s="138">
        <v>968993111</v>
      </c>
      <c r="C19" s="139"/>
      <c r="D19" s="147">
        <v>28532</v>
      </c>
      <c r="E19" s="148"/>
      <c r="F19" s="168">
        <v>2</v>
      </c>
      <c r="G19" s="153">
        <v>11</v>
      </c>
    </row>
    <row r="20" spans="1:7" ht="21" x14ac:dyDescent="0.25">
      <c r="A20" s="137" t="s">
        <v>179</v>
      </c>
      <c r="B20" s="145">
        <v>933466460</v>
      </c>
      <c r="C20" s="137" t="s">
        <v>156</v>
      </c>
      <c r="D20" s="147">
        <v>18672</v>
      </c>
      <c r="E20" s="137" t="s">
        <v>289</v>
      </c>
      <c r="F20" s="168">
        <v>2</v>
      </c>
      <c r="G20" s="153">
        <v>13</v>
      </c>
    </row>
    <row r="21" spans="1:7" ht="21" x14ac:dyDescent="0.25">
      <c r="A21" s="137" t="s">
        <v>19</v>
      </c>
      <c r="B21" s="145">
        <v>966650613</v>
      </c>
      <c r="C21" s="137" t="s">
        <v>113</v>
      </c>
      <c r="D21" s="147">
        <v>25248</v>
      </c>
      <c r="E21" s="148"/>
      <c r="F21" s="168">
        <v>2</v>
      </c>
      <c r="G21" s="153">
        <v>14</v>
      </c>
    </row>
    <row r="22" spans="1:7" ht="21" x14ac:dyDescent="0.25">
      <c r="A22" s="137" t="s">
        <v>94</v>
      </c>
      <c r="B22" s="138">
        <v>967486563</v>
      </c>
      <c r="C22" s="139"/>
      <c r="D22" s="147">
        <v>27806</v>
      </c>
      <c r="E22" s="162" t="s">
        <v>308</v>
      </c>
      <c r="F22" s="168">
        <v>2</v>
      </c>
      <c r="G22" s="153">
        <v>16</v>
      </c>
    </row>
    <row r="23" spans="1:7" ht="21" x14ac:dyDescent="0.25">
      <c r="A23" s="137" t="s">
        <v>44</v>
      </c>
      <c r="B23" s="145">
        <v>963680898</v>
      </c>
      <c r="C23" s="137" t="s">
        <v>131</v>
      </c>
      <c r="D23" s="143">
        <v>46072</v>
      </c>
      <c r="E23" s="137" t="s">
        <v>276</v>
      </c>
      <c r="F23" s="168">
        <v>2</v>
      </c>
      <c r="G23" s="153">
        <v>19</v>
      </c>
    </row>
    <row r="24" spans="1:7" ht="21" x14ac:dyDescent="0.25">
      <c r="A24" s="137" t="s">
        <v>22</v>
      </c>
      <c r="B24" s="138">
        <v>969640536</v>
      </c>
      <c r="C24" s="137" t="s">
        <v>212</v>
      </c>
      <c r="D24" s="147">
        <v>25254</v>
      </c>
      <c r="E24" s="148"/>
      <c r="F24" s="168">
        <v>2</v>
      </c>
      <c r="G24" s="153">
        <v>20</v>
      </c>
    </row>
    <row r="25" spans="1:7" ht="21" x14ac:dyDescent="0.25">
      <c r="A25" s="137" t="s">
        <v>50</v>
      </c>
      <c r="B25" s="138">
        <v>965721521</v>
      </c>
      <c r="C25" s="137" t="s">
        <v>136</v>
      </c>
      <c r="D25" s="147">
        <v>17218</v>
      </c>
      <c r="E25" s="137" t="s">
        <v>280</v>
      </c>
      <c r="F25" s="168">
        <v>2</v>
      </c>
      <c r="G25" s="153">
        <v>20</v>
      </c>
    </row>
    <row r="26" spans="1:7" ht="21" x14ac:dyDescent="0.25">
      <c r="A26" s="137" t="s">
        <v>83</v>
      </c>
      <c r="B26" s="138">
        <v>933476460</v>
      </c>
      <c r="C26" s="139"/>
      <c r="D26" s="147">
        <v>33289</v>
      </c>
      <c r="E26" s="148"/>
      <c r="F26" s="168">
        <v>2</v>
      </c>
      <c r="G26" s="153">
        <v>20</v>
      </c>
    </row>
    <row r="27" spans="1:7" ht="21" x14ac:dyDescent="0.25">
      <c r="A27" s="137" t="s">
        <v>47</v>
      </c>
      <c r="B27" s="145">
        <v>934005083</v>
      </c>
      <c r="C27" s="137" t="s">
        <v>133</v>
      </c>
      <c r="D27" s="147">
        <v>21967</v>
      </c>
      <c r="E27" s="137" t="s">
        <v>277</v>
      </c>
      <c r="F27" s="168">
        <v>2</v>
      </c>
      <c r="G27" s="153">
        <v>21</v>
      </c>
    </row>
    <row r="28" spans="1:7" ht="21" x14ac:dyDescent="0.25">
      <c r="A28" s="137" t="s">
        <v>31</v>
      </c>
      <c r="B28" s="145">
        <v>967296794</v>
      </c>
      <c r="C28" s="137" t="s">
        <v>122</v>
      </c>
      <c r="D28" s="147">
        <v>31830</v>
      </c>
      <c r="E28" s="137" t="s">
        <v>268</v>
      </c>
      <c r="F28" s="168">
        <v>2</v>
      </c>
      <c r="G28" s="153">
        <v>22</v>
      </c>
    </row>
    <row r="29" spans="1:7" ht="21" x14ac:dyDescent="0.25">
      <c r="A29" s="137" t="s">
        <v>345</v>
      </c>
      <c r="B29" s="145">
        <v>961464165</v>
      </c>
      <c r="C29" s="142" t="s">
        <v>346</v>
      </c>
      <c r="D29" s="143">
        <v>30373</v>
      </c>
      <c r="E29" s="144"/>
      <c r="F29" s="168">
        <v>2</v>
      </c>
      <c r="G29" s="153">
        <v>26</v>
      </c>
    </row>
    <row r="30" spans="1:7" ht="21" x14ac:dyDescent="0.25">
      <c r="A30" s="137" t="s">
        <v>62</v>
      </c>
      <c r="B30" s="138">
        <v>912472919</v>
      </c>
      <c r="C30" s="137" t="s">
        <v>154</v>
      </c>
      <c r="D30" s="147">
        <v>20878</v>
      </c>
      <c r="E30" s="137" t="s">
        <v>288</v>
      </c>
      <c r="F30" s="168">
        <v>2</v>
      </c>
      <c r="G30" s="153">
        <v>27</v>
      </c>
    </row>
    <row r="31" spans="1:7" ht="21" x14ac:dyDescent="0.25">
      <c r="A31" s="149" t="s">
        <v>326</v>
      </c>
      <c r="B31" s="145">
        <v>969448934</v>
      </c>
      <c r="C31" s="142" t="s">
        <v>344</v>
      </c>
      <c r="D31" s="143">
        <v>24166</v>
      </c>
      <c r="E31" s="137"/>
      <c r="F31" s="168">
        <v>2</v>
      </c>
      <c r="G31" s="153">
        <v>28</v>
      </c>
    </row>
    <row r="32" spans="1:7" ht="21" x14ac:dyDescent="0.25">
      <c r="A32" s="137" t="s">
        <v>63</v>
      </c>
      <c r="B32" s="138">
        <v>922037775</v>
      </c>
      <c r="C32" s="137" t="s">
        <v>155</v>
      </c>
      <c r="D32" s="143">
        <v>19054</v>
      </c>
      <c r="E32" s="137" t="s">
        <v>286</v>
      </c>
      <c r="F32" s="169">
        <v>3</v>
      </c>
      <c r="G32" s="153">
        <v>1</v>
      </c>
    </row>
    <row r="33" spans="1:7" ht="21" x14ac:dyDescent="0.25">
      <c r="A33" s="137" t="s">
        <v>17</v>
      </c>
      <c r="B33" s="150">
        <v>964998573</v>
      </c>
      <c r="C33" s="139"/>
      <c r="D33" s="151">
        <v>17596</v>
      </c>
      <c r="E33" s="152"/>
      <c r="F33" s="169">
        <v>3</v>
      </c>
      <c r="G33" s="153">
        <v>4</v>
      </c>
    </row>
    <row r="34" spans="1:7" ht="21" x14ac:dyDescent="0.25">
      <c r="A34" s="137" t="s">
        <v>86</v>
      </c>
      <c r="B34" s="138">
        <v>964061478</v>
      </c>
      <c r="C34" s="139"/>
      <c r="D34" s="143" t="s">
        <v>216</v>
      </c>
      <c r="E34" s="144"/>
      <c r="F34" s="169">
        <v>3</v>
      </c>
      <c r="G34" s="153">
        <v>11</v>
      </c>
    </row>
    <row r="35" spans="1:7" ht="21" x14ac:dyDescent="0.25">
      <c r="A35" s="137" t="s">
        <v>75</v>
      </c>
      <c r="B35" s="145">
        <v>967752461</v>
      </c>
      <c r="C35" s="139" t="s">
        <v>350</v>
      </c>
      <c r="D35" s="143" t="s">
        <v>215</v>
      </c>
      <c r="E35" s="144"/>
      <c r="F35" s="169">
        <v>3</v>
      </c>
      <c r="G35" s="153">
        <v>12</v>
      </c>
    </row>
    <row r="36" spans="1:7" ht="21" x14ac:dyDescent="0.25">
      <c r="A36" s="137" t="s">
        <v>48</v>
      </c>
      <c r="B36" s="145">
        <v>938451418</v>
      </c>
      <c r="C36" s="137" t="s">
        <v>134</v>
      </c>
      <c r="D36" s="143">
        <v>19069</v>
      </c>
      <c r="E36" s="137" t="s">
        <v>278</v>
      </c>
      <c r="F36" s="169">
        <v>3</v>
      </c>
      <c r="G36" s="153">
        <v>16</v>
      </c>
    </row>
    <row r="37" spans="1:7" ht="21" x14ac:dyDescent="0.25">
      <c r="A37" s="137" t="s">
        <v>139</v>
      </c>
      <c r="B37" s="145">
        <v>917253154</v>
      </c>
      <c r="C37" s="137" t="s">
        <v>142</v>
      </c>
      <c r="D37" s="143" t="s">
        <v>214</v>
      </c>
      <c r="E37" s="144"/>
      <c r="F37" s="169">
        <v>3</v>
      </c>
      <c r="G37" s="153">
        <v>16</v>
      </c>
    </row>
    <row r="38" spans="1:7" ht="21" x14ac:dyDescent="0.25">
      <c r="A38" s="137" t="s">
        <v>4</v>
      </c>
      <c r="B38" s="138">
        <v>912765270</v>
      </c>
      <c r="C38" s="139" t="s">
        <v>106</v>
      </c>
      <c r="D38" s="143">
        <v>25283</v>
      </c>
      <c r="E38" s="137" t="s">
        <v>253</v>
      </c>
      <c r="F38" s="169">
        <v>3</v>
      </c>
      <c r="G38" s="153">
        <v>21</v>
      </c>
    </row>
    <row r="39" spans="1:7" ht="21" x14ac:dyDescent="0.25">
      <c r="A39" s="137" t="s">
        <v>66</v>
      </c>
      <c r="B39" s="138">
        <v>938604400</v>
      </c>
      <c r="C39" s="139" t="s">
        <v>353</v>
      </c>
      <c r="D39" s="143">
        <v>17248</v>
      </c>
      <c r="E39" s="137" t="s">
        <v>290</v>
      </c>
      <c r="F39" s="169">
        <v>3</v>
      </c>
      <c r="G39" s="153">
        <v>22</v>
      </c>
    </row>
    <row r="40" spans="1:7" ht="21" x14ac:dyDescent="0.25">
      <c r="A40" s="137" t="s">
        <v>73</v>
      </c>
      <c r="B40" s="145">
        <v>969041114</v>
      </c>
      <c r="C40" s="137" t="s">
        <v>146</v>
      </c>
      <c r="D40" s="143">
        <v>21269</v>
      </c>
      <c r="E40" s="137" t="s">
        <v>295</v>
      </c>
      <c r="F40" s="169">
        <v>3</v>
      </c>
      <c r="G40" s="153">
        <v>25</v>
      </c>
    </row>
    <row r="41" spans="1:7" ht="21" x14ac:dyDescent="0.25">
      <c r="A41" s="137" t="s">
        <v>42</v>
      </c>
      <c r="B41" s="145">
        <v>915759595</v>
      </c>
      <c r="C41" s="137" t="s">
        <v>130</v>
      </c>
      <c r="D41" s="143" t="s">
        <v>213</v>
      </c>
      <c r="E41" s="144"/>
      <c r="F41" s="169">
        <v>3</v>
      </c>
      <c r="G41" s="153">
        <v>29</v>
      </c>
    </row>
    <row r="42" spans="1:7" ht="21" x14ac:dyDescent="0.25">
      <c r="A42" s="137" t="s">
        <v>55</v>
      </c>
      <c r="B42" s="138">
        <v>914587038</v>
      </c>
      <c r="C42" s="139"/>
      <c r="D42" s="143">
        <v>22734</v>
      </c>
      <c r="E42" s="137" t="s">
        <v>283</v>
      </c>
      <c r="F42" s="169">
        <v>3</v>
      </c>
      <c r="G42" s="153">
        <v>29</v>
      </c>
    </row>
    <row r="43" spans="1:7" ht="21" x14ac:dyDescent="0.25">
      <c r="A43" s="137" t="s">
        <v>92</v>
      </c>
      <c r="B43" s="138">
        <v>968439848</v>
      </c>
      <c r="C43" s="139"/>
      <c r="D43" s="143" t="s">
        <v>218</v>
      </c>
      <c r="E43" s="162" t="s">
        <v>306</v>
      </c>
      <c r="F43" s="170">
        <v>4</v>
      </c>
      <c r="G43" s="153">
        <v>2</v>
      </c>
    </row>
    <row r="44" spans="1:7" ht="21" x14ac:dyDescent="0.25">
      <c r="A44" s="137" t="s">
        <v>41</v>
      </c>
      <c r="B44" s="145">
        <v>961201449</v>
      </c>
      <c r="C44" s="137" t="s">
        <v>129</v>
      </c>
      <c r="D44" s="143">
        <v>22010</v>
      </c>
      <c r="E44" s="146"/>
      <c r="F44" s="170">
        <v>4</v>
      </c>
      <c r="G44" s="153">
        <v>4</v>
      </c>
    </row>
    <row r="45" spans="1:7" ht="21" x14ac:dyDescent="0.25">
      <c r="A45" s="137" t="s">
        <v>159</v>
      </c>
      <c r="B45" s="145">
        <v>969468188</v>
      </c>
      <c r="C45" s="137" t="s">
        <v>160</v>
      </c>
      <c r="D45" s="143">
        <v>19455</v>
      </c>
      <c r="E45" s="137" t="s">
        <v>292</v>
      </c>
      <c r="F45" s="170">
        <v>4</v>
      </c>
      <c r="G45" s="153">
        <v>6</v>
      </c>
    </row>
    <row r="46" spans="1:7" ht="21" x14ac:dyDescent="0.25">
      <c r="A46" s="137" t="s">
        <v>71</v>
      </c>
      <c r="B46" s="145">
        <v>917605153</v>
      </c>
      <c r="C46" s="137" t="s">
        <v>144</v>
      </c>
      <c r="D46" s="143" t="s">
        <v>249</v>
      </c>
      <c r="E46" s="137" t="s">
        <v>294</v>
      </c>
      <c r="F46" s="170">
        <v>4</v>
      </c>
      <c r="G46" s="153">
        <v>9</v>
      </c>
    </row>
    <row r="47" spans="1:7" ht="21" x14ac:dyDescent="0.25">
      <c r="A47" s="137" t="s">
        <v>348</v>
      </c>
      <c r="B47" s="138">
        <v>919270630</v>
      </c>
      <c r="C47" s="142" t="s">
        <v>349</v>
      </c>
      <c r="D47" s="143">
        <v>24209</v>
      </c>
      <c r="E47" s="137"/>
      <c r="F47" s="170">
        <v>4</v>
      </c>
      <c r="G47" s="153">
        <v>12</v>
      </c>
    </row>
    <row r="48" spans="1:7" ht="21" x14ac:dyDescent="0.25">
      <c r="A48" s="137" t="s">
        <v>176</v>
      </c>
      <c r="B48" s="138"/>
      <c r="C48" s="139"/>
      <c r="D48" s="140">
        <v>18733</v>
      </c>
      <c r="E48" s="139"/>
      <c r="F48" s="170">
        <v>4</v>
      </c>
      <c r="G48" s="153">
        <v>15</v>
      </c>
    </row>
    <row r="49" spans="1:7" ht="21" x14ac:dyDescent="0.25">
      <c r="A49" s="137" t="s">
        <v>24</v>
      </c>
      <c r="B49" s="138"/>
      <c r="C49" s="139"/>
      <c r="D49" s="140">
        <v>28964</v>
      </c>
      <c r="E49" s="139"/>
      <c r="F49" s="170">
        <v>4</v>
      </c>
      <c r="G49" s="153">
        <v>19</v>
      </c>
    </row>
    <row r="50" spans="1:7" ht="21" x14ac:dyDescent="0.25">
      <c r="A50" s="137" t="s">
        <v>15</v>
      </c>
      <c r="B50" s="145">
        <v>927363931</v>
      </c>
      <c r="C50" s="137" t="s">
        <v>111</v>
      </c>
      <c r="D50" s="143" t="s">
        <v>217</v>
      </c>
      <c r="E50" s="137" t="s">
        <v>258</v>
      </c>
      <c r="F50" s="170">
        <v>4</v>
      </c>
      <c r="G50" s="153">
        <v>29</v>
      </c>
    </row>
    <row r="51" spans="1:7" ht="21" x14ac:dyDescent="0.25">
      <c r="A51" s="137" t="s">
        <v>16</v>
      </c>
      <c r="B51" s="145">
        <v>917252684</v>
      </c>
      <c r="C51" s="137" t="s">
        <v>112</v>
      </c>
      <c r="D51" s="143" t="s">
        <v>221</v>
      </c>
      <c r="E51" s="137" t="s">
        <v>259</v>
      </c>
      <c r="F51" s="171">
        <v>5</v>
      </c>
      <c r="G51" s="153">
        <v>4</v>
      </c>
    </row>
    <row r="52" spans="1:7" ht="21" x14ac:dyDescent="0.25">
      <c r="A52" s="137" t="s">
        <v>34</v>
      </c>
      <c r="B52" s="138">
        <v>213147776</v>
      </c>
      <c r="C52" s="139" t="s">
        <v>353</v>
      </c>
      <c r="D52" s="140">
        <v>12545</v>
      </c>
      <c r="E52" s="139"/>
      <c r="F52" s="171">
        <v>5</v>
      </c>
      <c r="G52" s="153">
        <v>6</v>
      </c>
    </row>
    <row r="53" spans="1:7" ht="21" x14ac:dyDescent="0.25">
      <c r="A53" s="137" t="s">
        <v>64</v>
      </c>
      <c r="B53" s="138">
        <v>213904513</v>
      </c>
      <c r="C53" s="139" t="s">
        <v>353</v>
      </c>
      <c r="D53" s="140">
        <v>13283</v>
      </c>
      <c r="E53" s="139"/>
      <c r="F53" s="171">
        <v>5</v>
      </c>
      <c r="G53" s="153">
        <v>13</v>
      </c>
    </row>
    <row r="54" spans="1:7" ht="21" x14ac:dyDescent="0.25">
      <c r="A54" s="137" t="s">
        <v>8</v>
      </c>
      <c r="B54" s="145">
        <v>962544544</v>
      </c>
      <c r="C54" s="139" t="s">
        <v>353</v>
      </c>
      <c r="D54" s="143" t="s">
        <v>219</v>
      </c>
      <c r="E54" s="137" t="s">
        <v>255</v>
      </c>
      <c r="F54" s="171">
        <v>5</v>
      </c>
      <c r="G54" s="153">
        <v>14</v>
      </c>
    </row>
    <row r="55" spans="1:7" ht="21" x14ac:dyDescent="0.25">
      <c r="A55" s="137" t="s">
        <v>347</v>
      </c>
      <c r="B55" s="145">
        <v>936250659</v>
      </c>
      <c r="C55" s="153" t="s">
        <v>360</v>
      </c>
      <c r="D55" s="143">
        <v>24606</v>
      </c>
      <c r="E55" s="137"/>
      <c r="F55" s="171">
        <v>5</v>
      </c>
      <c r="G55" s="153">
        <v>14</v>
      </c>
    </row>
    <row r="56" spans="1:7" ht="21" x14ac:dyDescent="0.25">
      <c r="A56" s="137" t="s">
        <v>36</v>
      </c>
      <c r="B56" s="138">
        <v>919840649</v>
      </c>
      <c r="C56" s="137" t="s">
        <v>124</v>
      </c>
      <c r="D56" s="143" t="s">
        <v>223</v>
      </c>
      <c r="E56" s="144"/>
      <c r="F56" s="171">
        <v>5</v>
      </c>
      <c r="G56" s="153">
        <v>17</v>
      </c>
    </row>
    <row r="57" spans="1:7" ht="21" x14ac:dyDescent="0.25">
      <c r="A57" s="137" t="s">
        <v>184</v>
      </c>
      <c r="B57" s="138">
        <v>932996002</v>
      </c>
      <c r="C57" s="137" t="s">
        <v>138</v>
      </c>
      <c r="D57" s="143" t="s">
        <v>361</v>
      </c>
      <c r="E57" s="137"/>
      <c r="F57" s="171">
        <v>5</v>
      </c>
      <c r="G57" s="153">
        <v>17</v>
      </c>
    </row>
    <row r="58" spans="1:7" ht="21" x14ac:dyDescent="0.25">
      <c r="A58" s="137" t="s">
        <v>10</v>
      </c>
      <c r="B58" s="145">
        <v>914257808</v>
      </c>
      <c r="C58" s="137" t="s">
        <v>108</v>
      </c>
      <c r="D58" s="143" t="s">
        <v>220</v>
      </c>
      <c r="E58" s="144"/>
      <c r="F58" s="171">
        <v>5</v>
      </c>
      <c r="G58" s="153">
        <v>18</v>
      </c>
    </row>
    <row r="59" spans="1:7" ht="21" x14ac:dyDescent="0.25">
      <c r="A59" s="154" t="s">
        <v>57</v>
      </c>
      <c r="B59" s="138">
        <v>933582420</v>
      </c>
      <c r="C59" s="137" t="s">
        <v>105</v>
      </c>
      <c r="D59" s="143">
        <v>19507</v>
      </c>
      <c r="E59" s="137" t="s">
        <v>284</v>
      </c>
      <c r="F59" s="171">
        <v>5</v>
      </c>
      <c r="G59" s="153">
        <v>28</v>
      </c>
    </row>
    <row r="60" spans="1:7" ht="21" x14ac:dyDescent="0.25">
      <c r="A60" s="137" t="s">
        <v>117</v>
      </c>
      <c r="B60" s="145">
        <v>965717833</v>
      </c>
      <c r="C60" s="137" t="s">
        <v>116</v>
      </c>
      <c r="D60" s="143" t="s">
        <v>222</v>
      </c>
      <c r="E60" s="137" t="s">
        <v>263</v>
      </c>
      <c r="F60" s="171">
        <v>5</v>
      </c>
      <c r="G60" s="153">
        <v>29</v>
      </c>
    </row>
    <row r="61" spans="1:7" ht="21" x14ac:dyDescent="0.25">
      <c r="A61" s="137" t="s">
        <v>192</v>
      </c>
      <c r="B61" s="145">
        <v>910232270</v>
      </c>
      <c r="C61" s="137" t="s">
        <v>193</v>
      </c>
      <c r="D61" s="143">
        <v>33024</v>
      </c>
      <c r="E61" s="137"/>
      <c r="F61" s="171">
        <v>5</v>
      </c>
      <c r="G61" s="153">
        <v>31</v>
      </c>
    </row>
    <row r="62" spans="1:7" ht="21" x14ac:dyDescent="0.25">
      <c r="A62" s="155" t="s">
        <v>38</v>
      </c>
      <c r="B62" s="145">
        <v>919635959</v>
      </c>
      <c r="C62" s="156" t="s">
        <v>126</v>
      </c>
      <c r="D62" s="143">
        <v>18781</v>
      </c>
      <c r="E62" s="137" t="s">
        <v>272</v>
      </c>
      <c r="F62" s="172">
        <v>6</v>
      </c>
      <c r="G62" s="153">
        <v>2</v>
      </c>
    </row>
    <row r="63" spans="1:7" ht="21" x14ac:dyDescent="0.25">
      <c r="A63" s="137" t="s">
        <v>89</v>
      </c>
      <c r="B63" s="145">
        <v>967060746</v>
      </c>
      <c r="C63" s="137" t="s">
        <v>169</v>
      </c>
      <c r="D63" s="143" t="s">
        <v>226</v>
      </c>
      <c r="E63" s="144"/>
      <c r="F63" s="172">
        <v>6</v>
      </c>
      <c r="G63" s="153">
        <v>3</v>
      </c>
    </row>
    <row r="64" spans="1:7" ht="21" x14ac:dyDescent="0.25">
      <c r="A64" s="137" t="s">
        <v>322</v>
      </c>
      <c r="B64" s="138">
        <v>911167341</v>
      </c>
      <c r="C64" s="157" t="s">
        <v>323</v>
      </c>
      <c r="D64" s="143">
        <v>25358</v>
      </c>
      <c r="E64" s="144"/>
      <c r="F64" s="172">
        <v>6</v>
      </c>
      <c r="G64" s="153">
        <v>4</v>
      </c>
    </row>
    <row r="65" spans="1:7" ht="21" x14ac:dyDescent="0.25">
      <c r="A65" s="137" t="s">
        <v>150</v>
      </c>
      <c r="B65" s="138">
        <v>938784075</v>
      </c>
      <c r="C65" s="139" t="s">
        <v>350</v>
      </c>
      <c r="D65" s="140">
        <v>17701</v>
      </c>
      <c r="E65" s="137" t="s">
        <v>287</v>
      </c>
      <c r="F65" s="172">
        <v>6</v>
      </c>
      <c r="G65" s="153">
        <v>17</v>
      </c>
    </row>
    <row r="66" spans="1:7" ht="21" x14ac:dyDescent="0.25">
      <c r="A66" s="137" t="s">
        <v>37</v>
      </c>
      <c r="B66" s="145">
        <v>964317090</v>
      </c>
      <c r="C66" s="137" t="s">
        <v>125</v>
      </c>
      <c r="D66" s="143">
        <v>26833</v>
      </c>
      <c r="E66" s="137" t="s">
        <v>271</v>
      </c>
      <c r="F66" s="172">
        <v>6</v>
      </c>
      <c r="G66" s="153">
        <v>18</v>
      </c>
    </row>
    <row r="67" spans="1:7" ht="21" x14ac:dyDescent="0.25">
      <c r="A67" s="137" t="s">
        <v>39</v>
      </c>
      <c r="B67" s="138">
        <v>964442745</v>
      </c>
      <c r="C67" s="139"/>
      <c r="D67" s="143">
        <v>22818</v>
      </c>
      <c r="E67" s="137" t="s">
        <v>273</v>
      </c>
      <c r="F67" s="172">
        <v>6</v>
      </c>
      <c r="G67" s="153">
        <v>21</v>
      </c>
    </row>
    <row r="68" spans="1:7" ht="21" x14ac:dyDescent="0.25">
      <c r="A68" s="137" t="s">
        <v>46</v>
      </c>
      <c r="B68" s="145">
        <v>927746964</v>
      </c>
      <c r="C68" s="137" t="s">
        <v>132</v>
      </c>
      <c r="D68" s="143">
        <v>22456</v>
      </c>
      <c r="E68" s="158" t="s">
        <v>359</v>
      </c>
      <c r="F68" s="172">
        <v>6</v>
      </c>
      <c r="G68" s="153">
        <v>24</v>
      </c>
    </row>
    <row r="69" spans="1:7" ht="21" x14ac:dyDescent="0.25">
      <c r="A69" s="137" t="s">
        <v>149</v>
      </c>
      <c r="B69" s="138">
        <v>965784816</v>
      </c>
      <c r="C69" s="137" t="s">
        <v>151</v>
      </c>
      <c r="D69" s="143">
        <v>18806</v>
      </c>
      <c r="E69" s="137" t="s">
        <v>285</v>
      </c>
      <c r="F69" s="172">
        <v>6</v>
      </c>
      <c r="G69" s="153">
        <v>27</v>
      </c>
    </row>
    <row r="70" spans="1:7" ht="21" x14ac:dyDescent="0.25">
      <c r="A70" s="144" t="s">
        <v>178</v>
      </c>
      <c r="B70" s="138">
        <v>916991857</v>
      </c>
      <c r="C70" s="139"/>
      <c r="D70" s="140">
        <v>28677</v>
      </c>
      <c r="E70" s="139"/>
      <c r="F70" s="173">
        <v>7</v>
      </c>
      <c r="G70" s="153">
        <v>6</v>
      </c>
    </row>
    <row r="71" spans="1:7" ht="21" x14ac:dyDescent="0.25">
      <c r="A71" s="137" t="s">
        <v>225</v>
      </c>
      <c r="B71" s="138"/>
      <c r="C71" s="139"/>
      <c r="D71" s="143">
        <v>12243</v>
      </c>
      <c r="E71" s="146"/>
      <c r="F71" s="173">
        <v>7</v>
      </c>
      <c r="G71" s="153">
        <v>8</v>
      </c>
    </row>
    <row r="72" spans="1:7" ht="21" x14ac:dyDescent="0.25">
      <c r="A72" s="137" t="s">
        <v>324</v>
      </c>
      <c r="B72" s="138">
        <v>913792803</v>
      </c>
      <c r="C72" s="137" t="s">
        <v>208</v>
      </c>
      <c r="D72" s="143">
        <v>28691</v>
      </c>
      <c r="E72" s="137"/>
      <c r="F72" s="173">
        <v>7</v>
      </c>
      <c r="G72" s="153">
        <v>20</v>
      </c>
    </row>
    <row r="73" spans="1:7" ht="21" x14ac:dyDescent="0.25">
      <c r="A73" s="137" t="s">
        <v>51</v>
      </c>
      <c r="B73" s="145">
        <v>961886841</v>
      </c>
      <c r="C73" s="137" t="s">
        <v>137</v>
      </c>
      <c r="D73" s="143">
        <v>24676</v>
      </c>
      <c r="E73" s="137" t="s">
        <v>281</v>
      </c>
      <c r="F73" s="173">
        <v>7</v>
      </c>
      <c r="G73" s="153">
        <v>23</v>
      </c>
    </row>
    <row r="74" spans="1:7" ht="21" x14ac:dyDescent="0.25">
      <c r="A74" s="137" t="s">
        <v>88</v>
      </c>
      <c r="B74" s="145">
        <v>965410964</v>
      </c>
      <c r="C74" s="137" t="s">
        <v>168</v>
      </c>
      <c r="D74" s="143">
        <v>29059</v>
      </c>
      <c r="E74" s="137" t="s">
        <v>302</v>
      </c>
      <c r="F74" s="173">
        <v>7</v>
      </c>
      <c r="G74" s="153">
        <v>23</v>
      </c>
    </row>
    <row r="75" spans="1:7" ht="21" x14ac:dyDescent="0.25">
      <c r="A75" s="137" t="s">
        <v>196</v>
      </c>
      <c r="B75" s="145">
        <v>965114252</v>
      </c>
      <c r="C75" s="137" t="s">
        <v>350</v>
      </c>
      <c r="D75" s="151">
        <v>17009</v>
      </c>
      <c r="E75" s="152"/>
      <c r="F75" s="173">
        <v>7</v>
      </c>
      <c r="G75" s="153">
        <v>26</v>
      </c>
    </row>
    <row r="76" spans="1:7" ht="21" x14ac:dyDescent="0.25">
      <c r="A76" s="137" t="s">
        <v>13</v>
      </c>
      <c r="B76" s="145">
        <v>968504083</v>
      </c>
      <c r="C76" s="137" t="s">
        <v>109</v>
      </c>
      <c r="D76" s="143" t="s">
        <v>224</v>
      </c>
      <c r="E76" s="144"/>
      <c r="F76" s="173">
        <v>7</v>
      </c>
      <c r="G76" s="153">
        <v>27</v>
      </c>
    </row>
    <row r="77" spans="1:7" ht="21" x14ac:dyDescent="0.25">
      <c r="A77" s="137" t="s">
        <v>74</v>
      </c>
      <c r="B77" s="138">
        <v>933232810</v>
      </c>
      <c r="C77" s="139" t="s">
        <v>350</v>
      </c>
      <c r="D77" s="140">
        <v>17381</v>
      </c>
      <c r="E77" s="137" t="s">
        <v>296</v>
      </c>
      <c r="F77" s="174">
        <v>8</v>
      </c>
      <c r="G77" s="153">
        <v>2</v>
      </c>
    </row>
    <row r="78" spans="1:7" ht="21" x14ac:dyDescent="0.25">
      <c r="A78" s="137" t="s">
        <v>69</v>
      </c>
      <c r="B78" s="138">
        <v>916864272</v>
      </c>
      <c r="C78" s="139" t="s">
        <v>353</v>
      </c>
      <c r="D78" s="140">
        <v>15924</v>
      </c>
      <c r="E78" s="139"/>
      <c r="F78" s="174">
        <v>8</v>
      </c>
      <c r="G78" s="153">
        <v>6</v>
      </c>
    </row>
    <row r="79" spans="1:7" ht="21" x14ac:dyDescent="0.25">
      <c r="A79" s="137" t="s">
        <v>341</v>
      </c>
      <c r="B79" s="138">
        <v>915094576</v>
      </c>
      <c r="C79" s="142" t="s">
        <v>342</v>
      </c>
      <c r="D79" s="143">
        <v>27978</v>
      </c>
      <c r="E79" s="146"/>
      <c r="F79" s="174">
        <v>8</v>
      </c>
      <c r="G79" s="153">
        <v>6</v>
      </c>
    </row>
    <row r="80" spans="1:7" ht="21" x14ac:dyDescent="0.25">
      <c r="A80" s="137" t="s">
        <v>162</v>
      </c>
      <c r="B80" s="145">
        <v>962426894</v>
      </c>
      <c r="C80" s="137" t="s">
        <v>163</v>
      </c>
      <c r="D80" s="143" t="s">
        <v>228</v>
      </c>
      <c r="E80" s="137" t="s">
        <v>293</v>
      </c>
      <c r="F80" s="174">
        <v>8</v>
      </c>
      <c r="G80" s="153">
        <v>10</v>
      </c>
    </row>
    <row r="81" spans="1:7" ht="21" x14ac:dyDescent="0.25">
      <c r="A81" s="137" t="s">
        <v>182</v>
      </c>
      <c r="B81" s="145">
        <v>925355963</v>
      </c>
      <c r="C81" s="137" t="s">
        <v>158</v>
      </c>
      <c r="D81" s="143">
        <v>23602</v>
      </c>
      <c r="E81" s="137" t="s">
        <v>265</v>
      </c>
      <c r="F81" s="174">
        <v>8</v>
      </c>
      <c r="G81" s="153">
        <v>13</v>
      </c>
    </row>
    <row r="82" spans="1:7" ht="21" x14ac:dyDescent="0.25">
      <c r="A82" s="137" t="s">
        <v>84</v>
      </c>
      <c r="B82" s="145">
        <v>964389194</v>
      </c>
      <c r="C82" s="137" t="s">
        <v>167</v>
      </c>
      <c r="D82" s="143" t="s">
        <v>229</v>
      </c>
      <c r="E82" s="144"/>
      <c r="F82" s="174">
        <v>8</v>
      </c>
      <c r="G82" s="153">
        <v>14</v>
      </c>
    </row>
    <row r="83" spans="1:7" ht="21" x14ac:dyDescent="0.25">
      <c r="A83" s="159" t="s">
        <v>304</v>
      </c>
      <c r="B83" s="141">
        <v>912920575</v>
      </c>
      <c r="C83" s="160" t="s">
        <v>321</v>
      </c>
      <c r="D83" s="143">
        <v>35661</v>
      </c>
      <c r="E83" s="137" t="s">
        <v>305</v>
      </c>
      <c r="F83" s="174">
        <v>8</v>
      </c>
      <c r="G83" s="153">
        <v>19</v>
      </c>
    </row>
    <row r="84" spans="1:7" ht="21" x14ac:dyDescent="0.25">
      <c r="A84" s="137" t="s">
        <v>90</v>
      </c>
      <c r="B84" s="145">
        <v>966584913</v>
      </c>
      <c r="C84" s="137" t="s">
        <v>171</v>
      </c>
      <c r="D84" s="143">
        <v>29093</v>
      </c>
      <c r="E84" s="137" t="s">
        <v>303</v>
      </c>
      <c r="F84" s="174">
        <v>8</v>
      </c>
      <c r="G84" s="153">
        <v>26</v>
      </c>
    </row>
    <row r="85" spans="1:7" ht="21" x14ac:dyDescent="0.25">
      <c r="A85" s="137" t="s">
        <v>97</v>
      </c>
      <c r="B85" s="138">
        <v>912690959</v>
      </c>
      <c r="C85" s="137" t="s">
        <v>206</v>
      </c>
      <c r="D85" s="143">
        <v>28004</v>
      </c>
      <c r="E85" s="162" t="s">
        <v>309</v>
      </c>
      <c r="F85" s="175">
        <v>9</v>
      </c>
      <c r="G85" s="153">
        <v>1</v>
      </c>
    </row>
    <row r="86" spans="1:7" ht="21" x14ac:dyDescent="0.25">
      <c r="A86" s="137" t="s">
        <v>3</v>
      </c>
      <c r="B86" s="138">
        <v>917972654</v>
      </c>
      <c r="C86" s="139" t="s">
        <v>104</v>
      </c>
      <c r="D86" s="143">
        <v>30197</v>
      </c>
      <c r="E86" s="146"/>
      <c r="F86" s="175">
        <v>9</v>
      </c>
      <c r="G86" s="153">
        <v>3</v>
      </c>
    </row>
    <row r="87" spans="1:7" ht="21" x14ac:dyDescent="0.25">
      <c r="A87" s="137" t="s">
        <v>76</v>
      </c>
      <c r="B87" s="145">
        <v>962544544</v>
      </c>
      <c r="C87" s="137" t="s">
        <v>107</v>
      </c>
      <c r="D87" s="143" t="s">
        <v>234</v>
      </c>
      <c r="E87" s="137" t="s">
        <v>297</v>
      </c>
      <c r="F87" s="175">
        <v>9</v>
      </c>
      <c r="G87" s="153">
        <v>12</v>
      </c>
    </row>
    <row r="88" spans="1:7" ht="21" x14ac:dyDescent="0.25">
      <c r="A88" s="137" t="s">
        <v>35</v>
      </c>
      <c r="B88" s="138">
        <v>913103663</v>
      </c>
      <c r="C88" s="139"/>
      <c r="D88" s="143" t="s">
        <v>231</v>
      </c>
      <c r="E88" s="137" t="s">
        <v>270</v>
      </c>
      <c r="F88" s="175">
        <v>9</v>
      </c>
      <c r="G88" s="153">
        <v>20</v>
      </c>
    </row>
    <row r="89" spans="1:7" ht="21" x14ac:dyDescent="0.25">
      <c r="A89" s="137" t="s">
        <v>53</v>
      </c>
      <c r="B89" s="138">
        <v>918521773</v>
      </c>
      <c r="C89" s="137" t="s">
        <v>185</v>
      </c>
      <c r="D89" s="143" t="s">
        <v>232</v>
      </c>
      <c r="E89" s="144"/>
      <c r="F89" s="175">
        <v>9</v>
      </c>
      <c r="G89" s="153">
        <v>22</v>
      </c>
    </row>
    <row r="90" spans="1:7" ht="21" x14ac:dyDescent="0.25">
      <c r="A90" s="137" t="s">
        <v>78</v>
      </c>
      <c r="B90" s="138">
        <v>967835745</v>
      </c>
      <c r="C90" s="137" t="s">
        <v>165</v>
      </c>
      <c r="D90" s="143" t="s">
        <v>235</v>
      </c>
      <c r="E90" s="137" t="s">
        <v>299</v>
      </c>
      <c r="F90" s="175">
        <v>9</v>
      </c>
      <c r="G90" s="153">
        <v>22</v>
      </c>
    </row>
    <row r="91" spans="1:7" ht="21" x14ac:dyDescent="0.25">
      <c r="A91" s="137" t="s">
        <v>1</v>
      </c>
      <c r="B91" s="145">
        <v>966750406</v>
      </c>
      <c r="C91" s="139" t="s">
        <v>103</v>
      </c>
      <c r="D91" s="143" t="s">
        <v>230</v>
      </c>
      <c r="E91" s="137" t="s">
        <v>252</v>
      </c>
      <c r="F91" s="175">
        <v>9</v>
      </c>
      <c r="G91" s="153">
        <v>23</v>
      </c>
    </row>
    <row r="92" spans="1:7" ht="21" x14ac:dyDescent="0.25">
      <c r="A92" s="137" t="s">
        <v>60</v>
      </c>
      <c r="B92" s="138">
        <v>962943167</v>
      </c>
      <c r="C92" s="139"/>
      <c r="D92" s="143" t="s">
        <v>233</v>
      </c>
      <c r="E92" s="144"/>
      <c r="F92" s="175">
        <v>9</v>
      </c>
      <c r="G92" s="153">
        <v>29</v>
      </c>
    </row>
    <row r="93" spans="1:7" ht="21" x14ac:dyDescent="0.25">
      <c r="A93" s="137" t="s">
        <v>81</v>
      </c>
      <c r="B93" s="138">
        <v>963330510</v>
      </c>
      <c r="C93" s="156" t="s">
        <v>365</v>
      </c>
      <c r="D93" s="140">
        <v>29501</v>
      </c>
      <c r="E93" s="139"/>
      <c r="F93" s="176">
        <v>10</v>
      </c>
      <c r="G93" s="153">
        <v>7</v>
      </c>
    </row>
    <row r="94" spans="1:7" ht="21" x14ac:dyDescent="0.25">
      <c r="A94" s="137" t="s">
        <v>204</v>
      </c>
      <c r="B94" s="145">
        <v>918139017</v>
      </c>
      <c r="C94" s="137" t="s">
        <v>205</v>
      </c>
      <c r="D94" s="143">
        <v>25118</v>
      </c>
      <c r="E94" s="137"/>
      <c r="F94" s="176">
        <v>10</v>
      </c>
      <c r="G94" s="153">
        <v>7</v>
      </c>
    </row>
    <row r="95" spans="1:7" ht="21" x14ac:dyDescent="0.25">
      <c r="A95" s="137" t="s">
        <v>363</v>
      </c>
      <c r="B95" s="141">
        <v>932529800</v>
      </c>
      <c r="C95" s="137" t="s">
        <v>170</v>
      </c>
      <c r="D95" s="143" t="s">
        <v>227</v>
      </c>
      <c r="E95" s="144"/>
      <c r="F95" s="176">
        <v>10</v>
      </c>
      <c r="G95" s="153">
        <v>8</v>
      </c>
    </row>
    <row r="96" spans="1:7" ht="21" x14ac:dyDescent="0.25">
      <c r="A96" s="137" t="s">
        <v>96</v>
      </c>
      <c r="B96" s="138" t="s">
        <v>189</v>
      </c>
      <c r="C96" s="137" t="s">
        <v>190</v>
      </c>
      <c r="D96" s="143" t="s">
        <v>236</v>
      </c>
      <c r="E96" s="144"/>
      <c r="F96" s="176">
        <v>10</v>
      </c>
      <c r="G96" s="153">
        <v>11</v>
      </c>
    </row>
    <row r="97" spans="1:7" ht="21" x14ac:dyDescent="0.25">
      <c r="A97" s="137" t="s">
        <v>99</v>
      </c>
      <c r="B97" s="145">
        <v>919518077</v>
      </c>
      <c r="C97" s="159" t="s">
        <v>175</v>
      </c>
      <c r="D97" s="143">
        <v>14898</v>
      </c>
      <c r="E97" s="162" t="s">
        <v>311</v>
      </c>
      <c r="F97" s="176">
        <v>10</v>
      </c>
      <c r="G97" s="153">
        <v>14</v>
      </c>
    </row>
    <row r="98" spans="1:7" ht="21" x14ac:dyDescent="0.25">
      <c r="A98" s="137" t="s">
        <v>7</v>
      </c>
      <c r="B98" s="145">
        <v>963748014</v>
      </c>
      <c r="C98" s="139" t="s">
        <v>353</v>
      </c>
      <c r="D98" s="143">
        <v>21108</v>
      </c>
      <c r="E98" s="146"/>
      <c r="F98" s="176">
        <v>10</v>
      </c>
      <c r="G98" s="153">
        <v>15</v>
      </c>
    </row>
    <row r="99" spans="1:7" ht="21" x14ac:dyDescent="0.25">
      <c r="A99" s="137" t="s">
        <v>29</v>
      </c>
      <c r="B99" s="138">
        <v>966314453</v>
      </c>
      <c r="C99" s="139" t="s">
        <v>350</v>
      </c>
      <c r="D99" s="140">
        <v>17095</v>
      </c>
      <c r="E99" s="139"/>
      <c r="F99" s="176">
        <v>10</v>
      </c>
      <c r="G99" s="153">
        <v>20</v>
      </c>
    </row>
    <row r="100" spans="1:7" ht="21" x14ac:dyDescent="0.25">
      <c r="A100" s="137" t="s">
        <v>70</v>
      </c>
      <c r="B100" s="145">
        <v>963731073</v>
      </c>
      <c r="C100" s="137" t="s">
        <v>143</v>
      </c>
      <c r="D100" s="143">
        <v>21478</v>
      </c>
      <c r="E100" s="137"/>
      <c r="F100" s="176">
        <v>10</v>
      </c>
      <c r="G100" s="153">
        <v>20</v>
      </c>
    </row>
    <row r="101" spans="1:7" ht="21" x14ac:dyDescent="0.25">
      <c r="A101" s="137" t="s">
        <v>33</v>
      </c>
      <c r="B101" s="145">
        <v>967795626</v>
      </c>
      <c r="C101" s="137" t="s">
        <v>123</v>
      </c>
      <c r="D101" s="143" t="s">
        <v>237</v>
      </c>
      <c r="E101" s="137" t="s">
        <v>269</v>
      </c>
      <c r="F101" s="176">
        <v>10</v>
      </c>
      <c r="G101" s="153">
        <v>21</v>
      </c>
    </row>
    <row r="102" spans="1:7" ht="21" x14ac:dyDescent="0.25">
      <c r="A102" s="137" t="s">
        <v>91</v>
      </c>
      <c r="B102" s="138">
        <v>966857340</v>
      </c>
      <c r="C102" s="139"/>
      <c r="D102" s="143" t="s">
        <v>238</v>
      </c>
      <c r="E102" s="144"/>
      <c r="F102" s="176">
        <v>10</v>
      </c>
      <c r="G102" s="153">
        <v>24</v>
      </c>
    </row>
    <row r="103" spans="1:7" ht="21" x14ac:dyDescent="0.25">
      <c r="A103" s="137" t="s">
        <v>12</v>
      </c>
      <c r="B103" s="138">
        <v>936970079</v>
      </c>
      <c r="C103" s="139" t="s">
        <v>353</v>
      </c>
      <c r="D103" s="143" t="s">
        <v>239</v>
      </c>
      <c r="E103" s="137" t="s">
        <v>257</v>
      </c>
      <c r="F103" s="176">
        <v>10</v>
      </c>
      <c r="G103" s="153">
        <v>25</v>
      </c>
    </row>
    <row r="104" spans="1:7" ht="21" x14ac:dyDescent="0.25">
      <c r="A104" s="154" t="s">
        <v>54</v>
      </c>
      <c r="B104" s="138">
        <v>962863547</v>
      </c>
      <c r="C104" s="139"/>
      <c r="D104" s="143" t="s">
        <v>240</v>
      </c>
      <c r="E104" s="144"/>
      <c r="F104" s="176">
        <v>10</v>
      </c>
      <c r="G104" s="153">
        <v>26</v>
      </c>
    </row>
    <row r="105" spans="1:7" ht="21" x14ac:dyDescent="0.25">
      <c r="A105" s="137" t="s">
        <v>61</v>
      </c>
      <c r="B105" s="145">
        <v>966449439</v>
      </c>
      <c r="C105" s="137" t="s">
        <v>148</v>
      </c>
      <c r="D105" s="143">
        <v>16379</v>
      </c>
      <c r="E105" s="146"/>
      <c r="F105" s="177">
        <v>11</v>
      </c>
      <c r="G105" s="153">
        <v>3</v>
      </c>
    </row>
    <row r="106" spans="1:7" ht="21" x14ac:dyDescent="0.25">
      <c r="A106" s="137" t="s">
        <v>95</v>
      </c>
      <c r="B106" s="145">
        <v>969903340</v>
      </c>
      <c r="C106" s="137" t="s">
        <v>173</v>
      </c>
      <c r="D106" s="143">
        <v>26973</v>
      </c>
      <c r="E106" s="146"/>
      <c r="F106" s="177">
        <v>11</v>
      </c>
      <c r="G106" s="153">
        <v>5</v>
      </c>
    </row>
    <row r="107" spans="1:7" ht="21" x14ac:dyDescent="0.25">
      <c r="A107" s="137" t="s">
        <v>339</v>
      </c>
      <c r="B107" s="145">
        <v>966060903</v>
      </c>
      <c r="C107" s="153" t="s">
        <v>340</v>
      </c>
      <c r="D107" s="147">
        <v>25516</v>
      </c>
      <c r="E107" s="137"/>
      <c r="F107" s="177">
        <v>11</v>
      </c>
      <c r="G107" s="153">
        <v>9</v>
      </c>
    </row>
    <row r="108" spans="1:7" ht="21" x14ac:dyDescent="0.25">
      <c r="A108" s="137" t="s">
        <v>21</v>
      </c>
      <c r="B108" s="138">
        <v>962564960</v>
      </c>
      <c r="C108" s="137" t="s">
        <v>115</v>
      </c>
      <c r="D108" s="143" t="s">
        <v>241</v>
      </c>
      <c r="E108" s="137" t="s">
        <v>262</v>
      </c>
      <c r="F108" s="177">
        <v>11</v>
      </c>
      <c r="G108" s="153">
        <v>10</v>
      </c>
    </row>
    <row r="109" spans="1:7" ht="21" x14ac:dyDescent="0.25">
      <c r="A109" s="137" t="s">
        <v>32</v>
      </c>
      <c r="B109" s="145">
        <v>912960175</v>
      </c>
      <c r="C109" s="137" t="s">
        <v>140</v>
      </c>
      <c r="D109" s="143">
        <v>36111</v>
      </c>
      <c r="E109" s="137"/>
      <c r="F109" s="177">
        <v>11</v>
      </c>
      <c r="G109" s="153">
        <v>12</v>
      </c>
    </row>
    <row r="110" spans="1:7" ht="21" x14ac:dyDescent="0.25">
      <c r="A110" s="137" t="s">
        <v>49</v>
      </c>
      <c r="B110" s="138"/>
      <c r="C110" s="137" t="s">
        <v>135</v>
      </c>
      <c r="D110" s="143">
        <v>18946</v>
      </c>
      <c r="E110" s="137" t="s">
        <v>279</v>
      </c>
      <c r="F110" s="177">
        <v>11</v>
      </c>
      <c r="G110" s="153">
        <v>14</v>
      </c>
    </row>
    <row r="111" spans="1:7" ht="21" x14ac:dyDescent="0.25">
      <c r="A111" s="137" t="s">
        <v>5</v>
      </c>
      <c r="B111" s="145">
        <v>962544544</v>
      </c>
      <c r="C111" s="137" t="s">
        <v>107</v>
      </c>
      <c r="D111" s="143">
        <v>27715</v>
      </c>
      <c r="E111" s="137" t="s">
        <v>254</v>
      </c>
      <c r="F111" s="177">
        <v>11</v>
      </c>
      <c r="G111" s="153">
        <v>17</v>
      </c>
    </row>
    <row r="112" spans="1:7" ht="21" x14ac:dyDescent="0.25">
      <c r="A112" s="137" t="s">
        <v>98</v>
      </c>
      <c r="B112" s="145">
        <v>919227991</v>
      </c>
      <c r="C112" s="137" t="s">
        <v>174</v>
      </c>
      <c r="D112" s="143" t="s">
        <v>242</v>
      </c>
      <c r="E112" s="162" t="s">
        <v>310</v>
      </c>
      <c r="F112" s="177">
        <v>11</v>
      </c>
      <c r="G112" s="153">
        <v>17</v>
      </c>
    </row>
    <row r="113" spans="1:7" ht="21" x14ac:dyDescent="0.25">
      <c r="A113" s="137" t="s">
        <v>161</v>
      </c>
      <c r="B113" s="138">
        <v>964355979</v>
      </c>
      <c r="C113" s="139" t="s">
        <v>353</v>
      </c>
      <c r="D113" s="140">
        <v>13108</v>
      </c>
      <c r="E113" s="139"/>
      <c r="F113" s="177">
        <v>11</v>
      </c>
      <c r="G113" s="153">
        <v>20</v>
      </c>
    </row>
    <row r="114" spans="1:7" ht="21" x14ac:dyDescent="0.25">
      <c r="A114" s="137" t="s">
        <v>79</v>
      </c>
      <c r="B114" s="145">
        <v>967835745</v>
      </c>
      <c r="C114" s="137"/>
      <c r="D114" s="143" t="s">
        <v>243</v>
      </c>
      <c r="E114" s="137" t="s">
        <v>300</v>
      </c>
      <c r="F114" s="177">
        <v>11</v>
      </c>
      <c r="G114" s="153">
        <v>30</v>
      </c>
    </row>
    <row r="115" spans="1:7" ht="21" x14ac:dyDescent="0.25">
      <c r="A115" s="137" t="s">
        <v>77</v>
      </c>
      <c r="B115" s="145">
        <v>934842815</v>
      </c>
      <c r="C115" s="137" t="s">
        <v>164</v>
      </c>
      <c r="D115" s="143" t="s">
        <v>244</v>
      </c>
      <c r="E115" s="137" t="s">
        <v>298</v>
      </c>
      <c r="F115" s="178">
        <v>12</v>
      </c>
      <c r="G115" s="153">
        <v>7</v>
      </c>
    </row>
    <row r="116" spans="1:7" ht="21" x14ac:dyDescent="0.25">
      <c r="A116" s="149" t="s">
        <v>327</v>
      </c>
      <c r="B116" s="145">
        <v>932930357</v>
      </c>
      <c r="C116" s="142" t="s">
        <v>343</v>
      </c>
      <c r="D116" s="143">
        <v>27370</v>
      </c>
      <c r="E116" s="137"/>
      <c r="F116" s="178">
        <v>12</v>
      </c>
      <c r="G116" s="153">
        <v>7</v>
      </c>
    </row>
    <row r="117" spans="1:7" ht="21" x14ac:dyDescent="0.25">
      <c r="A117" s="137" t="s">
        <v>251</v>
      </c>
      <c r="B117" s="145" t="s">
        <v>189</v>
      </c>
      <c r="C117" s="160" t="s">
        <v>320</v>
      </c>
      <c r="D117" s="143">
        <v>36137</v>
      </c>
      <c r="E117" s="146"/>
      <c r="F117" s="178">
        <v>12</v>
      </c>
      <c r="G117" s="153">
        <v>8</v>
      </c>
    </row>
    <row r="118" spans="1:7" ht="21" x14ac:dyDescent="0.25">
      <c r="A118" s="154" t="s">
        <v>177</v>
      </c>
      <c r="B118" s="138">
        <v>965172599</v>
      </c>
      <c r="C118" s="137" t="s">
        <v>141</v>
      </c>
      <c r="D118" s="143" t="s">
        <v>245</v>
      </c>
      <c r="E118" s="161"/>
      <c r="F118" s="178">
        <v>12</v>
      </c>
      <c r="G118" s="153">
        <v>9</v>
      </c>
    </row>
    <row r="119" spans="1:7" ht="21" x14ac:dyDescent="0.25">
      <c r="A119" s="137" t="s">
        <v>27</v>
      </c>
      <c r="B119" s="145">
        <v>913031688</v>
      </c>
      <c r="C119" s="137" t="s">
        <v>120</v>
      </c>
      <c r="D119" s="143" t="s">
        <v>246</v>
      </c>
      <c r="E119" s="137" t="s">
        <v>267</v>
      </c>
      <c r="F119" s="178">
        <v>12</v>
      </c>
      <c r="G119" s="153">
        <v>13</v>
      </c>
    </row>
    <row r="120" spans="1:7" ht="21" x14ac:dyDescent="0.25">
      <c r="A120" s="137" t="s">
        <v>45</v>
      </c>
      <c r="B120" s="138">
        <v>964294024</v>
      </c>
      <c r="C120" s="139"/>
      <c r="D120" s="140">
        <v>20447</v>
      </c>
      <c r="E120" s="139"/>
      <c r="F120" s="178">
        <v>12</v>
      </c>
      <c r="G120" s="153">
        <v>24</v>
      </c>
    </row>
    <row r="121" spans="1:7" ht="21" x14ac:dyDescent="0.25">
      <c r="A121" s="137" t="s">
        <v>128</v>
      </c>
      <c r="B121" s="138">
        <v>968256989</v>
      </c>
      <c r="C121" s="139"/>
      <c r="D121" s="143" t="s">
        <v>247</v>
      </c>
      <c r="E121" s="137" t="s">
        <v>275</v>
      </c>
      <c r="F121" s="178">
        <v>12</v>
      </c>
      <c r="G121" s="153">
        <v>25</v>
      </c>
    </row>
    <row r="122" spans="1:7" ht="21" x14ac:dyDescent="0.25">
      <c r="A122" s="137" t="s">
        <v>28</v>
      </c>
      <c r="B122" s="138">
        <v>963489280</v>
      </c>
      <c r="C122" s="137" t="s">
        <v>121</v>
      </c>
      <c r="D122" s="143" t="s">
        <v>248</v>
      </c>
      <c r="E122" s="161"/>
      <c r="F122" s="178">
        <v>12</v>
      </c>
      <c r="G122" s="153">
        <v>30</v>
      </c>
    </row>
    <row r="123" spans="1:7" ht="21" x14ac:dyDescent="0.25">
      <c r="A123" s="137" t="s">
        <v>2</v>
      </c>
      <c r="B123" s="138"/>
      <c r="C123" s="139"/>
      <c r="D123" s="140"/>
      <c r="E123" s="139"/>
      <c r="F123" s="153" t="s">
        <v>370</v>
      </c>
      <c r="G123" s="153" t="s">
        <v>370</v>
      </c>
    </row>
    <row r="124" spans="1:7" ht="21" x14ac:dyDescent="0.25">
      <c r="A124" s="137" t="s">
        <v>6</v>
      </c>
      <c r="B124" s="145">
        <v>919451168</v>
      </c>
      <c r="C124" s="139"/>
      <c r="D124" s="140"/>
      <c r="E124" s="139"/>
      <c r="F124" s="153" t="s">
        <v>370</v>
      </c>
      <c r="G124" s="153" t="s">
        <v>370</v>
      </c>
    </row>
    <row r="125" spans="1:7" ht="21" x14ac:dyDescent="0.25">
      <c r="A125" s="137" t="s">
        <v>191</v>
      </c>
      <c r="B125" s="145">
        <v>913352977</v>
      </c>
      <c r="C125" s="156" t="s">
        <v>356</v>
      </c>
      <c r="D125" s="143"/>
      <c r="E125" s="137"/>
      <c r="F125" s="153" t="s">
        <v>370</v>
      </c>
      <c r="G125" s="153" t="s">
        <v>370</v>
      </c>
    </row>
    <row r="126" spans="1:7" ht="21" x14ac:dyDescent="0.25">
      <c r="A126" s="137" t="s">
        <v>14</v>
      </c>
      <c r="B126" s="138">
        <v>914661325</v>
      </c>
      <c r="C126" s="160" t="s">
        <v>318</v>
      </c>
      <c r="D126" s="143"/>
      <c r="E126" s="137" t="s">
        <v>331</v>
      </c>
      <c r="F126" s="153" t="s">
        <v>370</v>
      </c>
      <c r="G126" s="153" t="s">
        <v>370</v>
      </c>
    </row>
    <row r="127" spans="1:7" ht="21" x14ac:dyDescent="0.25">
      <c r="A127" s="137" t="s">
        <v>207</v>
      </c>
      <c r="B127" s="145">
        <v>938362446</v>
      </c>
      <c r="C127" s="137" t="s">
        <v>110</v>
      </c>
      <c r="D127" s="143"/>
      <c r="E127" s="137"/>
      <c r="F127" s="153" t="s">
        <v>370</v>
      </c>
      <c r="G127" s="153" t="s">
        <v>370</v>
      </c>
    </row>
    <row r="128" spans="1:7" ht="21" x14ac:dyDescent="0.25">
      <c r="A128" s="137" t="s">
        <v>18</v>
      </c>
      <c r="B128" s="145">
        <v>935949176</v>
      </c>
      <c r="C128" s="139"/>
      <c r="D128" s="140"/>
      <c r="E128" s="137" t="s">
        <v>260</v>
      </c>
      <c r="F128" s="153" t="s">
        <v>370</v>
      </c>
      <c r="G128" s="153" t="s">
        <v>370</v>
      </c>
    </row>
    <row r="129" spans="1:7" ht="21" x14ac:dyDescent="0.25">
      <c r="A129" s="137" t="s">
        <v>20</v>
      </c>
      <c r="B129" s="145">
        <v>915848789</v>
      </c>
      <c r="C129" s="137" t="s">
        <v>114</v>
      </c>
      <c r="D129" s="143"/>
      <c r="E129" s="137" t="s">
        <v>261</v>
      </c>
      <c r="F129" s="153" t="s">
        <v>370</v>
      </c>
      <c r="G129" s="153" t="s">
        <v>370</v>
      </c>
    </row>
    <row r="130" spans="1:7" ht="21" x14ac:dyDescent="0.25">
      <c r="A130" s="137" t="s">
        <v>194</v>
      </c>
      <c r="B130" s="145">
        <v>934517228</v>
      </c>
      <c r="C130" s="137" t="s">
        <v>195</v>
      </c>
      <c r="D130" s="143"/>
      <c r="E130" s="137"/>
      <c r="F130" s="153" t="s">
        <v>370</v>
      </c>
      <c r="G130" s="153" t="s">
        <v>370</v>
      </c>
    </row>
    <row r="131" spans="1:7" ht="21" x14ac:dyDescent="0.25">
      <c r="A131" s="137" t="s">
        <v>25</v>
      </c>
      <c r="B131" s="145">
        <v>965781869</v>
      </c>
      <c r="C131" s="137" t="s">
        <v>118</v>
      </c>
      <c r="D131" s="143"/>
      <c r="E131" s="137"/>
      <c r="F131" s="153" t="s">
        <v>370</v>
      </c>
      <c r="G131" s="153" t="s">
        <v>370</v>
      </c>
    </row>
    <row r="132" spans="1:7" ht="21" x14ac:dyDescent="0.25">
      <c r="A132" s="137" t="s">
        <v>329</v>
      </c>
      <c r="B132" s="145">
        <v>968143639</v>
      </c>
      <c r="C132" s="137"/>
      <c r="D132" s="147"/>
      <c r="E132" s="137"/>
      <c r="F132" s="153" t="s">
        <v>370</v>
      </c>
      <c r="G132" s="153" t="s">
        <v>370</v>
      </c>
    </row>
    <row r="133" spans="1:7" ht="21" x14ac:dyDescent="0.25">
      <c r="A133" s="154" t="s">
        <v>40</v>
      </c>
      <c r="B133" s="138">
        <v>914902151</v>
      </c>
      <c r="C133" s="137" t="s">
        <v>127</v>
      </c>
      <c r="D133" s="143"/>
      <c r="E133" s="137" t="s">
        <v>274</v>
      </c>
      <c r="F133" s="153" t="s">
        <v>370</v>
      </c>
      <c r="G133" s="153" t="s">
        <v>370</v>
      </c>
    </row>
    <row r="134" spans="1:7" ht="21" x14ac:dyDescent="0.25">
      <c r="A134" s="137" t="s">
        <v>43</v>
      </c>
      <c r="B134" s="138">
        <v>917763609</v>
      </c>
      <c r="C134" s="137" t="s">
        <v>183</v>
      </c>
      <c r="D134" s="143"/>
      <c r="E134" s="137" t="s">
        <v>332</v>
      </c>
      <c r="F134" s="153" t="s">
        <v>370</v>
      </c>
      <c r="G134" s="153" t="s">
        <v>370</v>
      </c>
    </row>
    <row r="135" spans="1:7" ht="21" x14ac:dyDescent="0.25">
      <c r="A135" s="137" t="s">
        <v>56</v>
      </c>
      <c r="B135" s="145">
        <v>936680469</v>
      </c>
      <c r="C135" s="137" t="s">
        <v>147</v>
      </c>
      <c r="D135" s="143"/>
      <c r="E135" s="137"/>
      <c r="F135" s="153" t="s">
        <v>370</v>
      </c>
      <c r="G135" s="153" t="s">
        <v>370</v>
      </c>
    </row>
    <row r="136" spans="1:7" ht="21" x14ac:dyDescent="0.25">
      <c r="A136" s="137" t="s">
        <v>152</v>
      </c>
      <c r="B136" s="145">
        <v>926373167</v>
      </c>
      <c r="C136" s="137" t="s">
        <v>153</v>
      </c>
      <c r="D136" s="143"/>
      <c r="E136" s="137"/>
      <c r="F136" s="153" t="s">
        <v>370</v>
      </c>
      <c r="G136" s="153" t="s">
        <v>370</v>
      </c>
    </row>
    <row r="137" spans="1:7" ht="21" x14ac:dyDescent="0.25">
      <c r="A137" s="137" t="s">
        <v>197</v>
      </c>
      <c r="B137" s="145">
        <v>969644285</v>
      </c>
      <c r="C137" s="137" t="s">
        <v>198</v>
      </c>
      <c r="D137" s="143"/>
      <c r="E137" s="137"/>
      <c r="F137" s="153" t="s">
        <v>370</v>
      </c>
      <c r="G137" s="153" t="s">
        <v>370</v>
      </c>
    </row>
    <row r="138" spans="1:7" ht="21" x14ac:dyDescent="0.25">
      <c r="A138" s="137" t="s">
        <v>67</v>
      </c>
      <c r="B138" s="138">
        <v>935898595</v>
      </c>
      <c r="C138" s="137" t="s">
        <v>186</v>
      </c>
      <c r="D138" s="143"/>
      <c r="E138" s="137" t="s">
        <v>291</v>
      </c>
      <c r="F138" s="153" t="s">
        <v>370</v>
      </c>
      <c r="G138" s="153" t="s">
        <v>370</v>
      </c>
    </row>
    <row r="139" spans="1:7" ht="21" x14ac:dyDescent="0.25">
      <c r="A139" s="159" t="s">
        <v>199</v>
      </c>
      <c r="B139" s="145">
        <v>933232686</v>
      </c>
      <c r="C139" s="137" t="s">
        <v>200</v>
      </c>
      <c r="D139" s="143"/>
      <c r="E139" s="137"/>
      <c r="F139" s="153" t="s">
        <v>370</v>
      </c>
      <c r="G139" s="153" t="s">
        <v>370</v>
      </c>
    </row>
    <row r="140" spans="1:7" ht="21" x14ac:dyDescent="0.25">
      <c r="A140" s="137" t="s">
        <v>80</v>
      </c>
      <c r="B140" s="138">
        <v>962720763</v>
      </c>
      <c r="C140" s="137" t="s">
        <v>187</v>
      </c>
      <c r="D140" s="143"/>
      <c r="E140" s="137"/>
      <c r="F140" s="153" t="s">
        <v>370</v>
      </c>
      <c r="G140" s="153" t="s">
        <v>370</v>
      </c>
    </row>
    <row r="141" spans="1:7" ht="21" x14ac:dyDescent="0.25">
      <c r="A141" s="137" t="s">
        <v>201</v>
      </c>
      <c r="B141" s="138" t="s">
        <v>188</v>
      </c>
      <c r="C141" s="139" t="s">
        <v>189</v>
      </c>
      <c r="D141" s="140"/>
      <c r="E141" s="139"/>
      <c r="F141" s="153" t="s">
        <v>370</v>
      </c>
      <c r="G141" s="153" t="s">
        <v>370</v>
      </c>
    </row>
    <row r="142" spans="1:7" ht="21" x14ac:dyDescent="0.25">
      <c r="A142" s="137" t="s">
        <v>202</v>
      </c>
      <c r="B142" s="138">
        <v>961799309</v>
      </c>
      <c r="C142" s="137" t="s">
        <v>203</v>
      </c>
      <c r="D142" s="143"/>
      <c r="E142" s="137"/>
      <c r="F142" s="153" t="s">
        <v>370</v>
      </c>
      <c r="G142" s="153" t="s">
        <v>370</v>
      </c>
    </row>
    <row r="143" spans="1:7" x14ac:dyDescent="0.2">
      <c r="C143" s="1"/>
      <c r="D143" s="1"/>
      <c r="E143" s="25"/>
    </row>
  </sheetData>
  <hyperlinks>
    <hyperlink ref="B95" r:id="rId1" display="callto:932 529 800" xr:uid="{799B3B6D-4602-8D4C-BC34-F39826059493}"/>
    <hyperlink ref="C91" r:id="rId2" display="mailto:abraaott@gmail.com" xr:uid="{10CEEBC1-B57E-A54B-ACE0-9E456BF66537}"/>
    <hyperlink ref="C86" r:id="rId3" display="mailto:alipio@decorsofas.pt" xr:uid="{C35B4924-AF1A-8F4F-B8C6-2E10E35908D7}"/>
    <hyperlink ref="C4" r:id="rId4" xr:uid="{63E00C3B-3393-FA4D-8E2D-4DFDC33577C4}"/>
    <hyperlink ref="C79" r:id="rId5" xr:uid="{28A5F04F-E688-BC4D-B403-F1D27E17B4C3}"/>
    <hyperlink ref="C116" r:id="rId6" xr:uid="{30988B16-DA4E-B843-8F6E-A7FA50252EE1}"/>
    <hyperlink ref="C31" r:id="rId7" xr:uid="{0DCEBC65-355E-C34D-9185-5C9437779D11}"/>
    <hyperlink ref="C29" r:id="rId8" xr:uid="{549AA364-8AA4-F243-83F9-4C7D65A760A4}"/>
    <hyperlink ref="C47" r:id="rId9" xr:uid="{8DB4F493-C81A-D646-BEAE-488F620F68A7}"/>
    <hyperlink ref="C125" r:id="rId10" xr:uid="{653D24CC-760F-6042-9374-B55CCCC698B5}"/>
    <hyperlink ref="C93" r:id="rId11" xr:uid="{BD3AAEFF-B32A-8C4F-9266-6663F62EFFEB}"/>
    <hyperlink ref="C62" r:id="rId12" xr:uid="{FC2EF66C-72E1-2F4E-BB73-63B2D9D15537}"/>
    <hyperlink ref="C64" r:id="rId13" xr:uid="{B1E17110-B2D5-5C48-B57A-7DC5974541FE}"/>
  </hyperlinks>
  <pageMargins left="0.25" right="0.25" top="0.75" bottom="0.75" header="0.3" footer="0.3"/>
  <pageSetup paperSize="9" scale="59" fitToHeight="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0"/>
  <sheetViews>
    <sheetView workbookViewId="0">
      <selection activeCell="F115" sqref="A115:F115"/>
    </sheetView>
  </sheetViews>
  <sheetFormatPr baseColWidth="10" defaultColWidth="8.83203125" defaultRowHeight="16" x14ac:dyDescent="0.2"/>
  <cols>
    <col min="1" max="1" width="5.33203125" customWidth="1"/>
    <col min="2" max="2" width="47.83203125" customWidth="1"/>
    <col min="3" max="3" width="12.5" style="6" customWidth="1"/>
    <col min="4" max="4" width="29" customWidth="1"/>
    <col min="5" max="5" width="12" customWidth="1"/>
    <col min="6" max="6" width="15.5" style="56" customWidth="1"/>
  </cols>
  <sheetData>
    <row r="1" spans="1:9" ht="56" customHeight="1" x14ac:dyDescent="0.2">
      <c r="A1" s="22"/>
      <c r="B1" s="23" t="s">
        <v>330</v>
      </c>
      <c r="C1" s="23"/>
      <c r="D1" s="23"/>
      <c r="E1" s="23"/>
      <c r="F1" s="48"/>
    </row>
    <row r="2" spans="1:9" ht="32" customHeight="1" x14ac:dyDescent="0.2">
      <c r="A2" s="14"/>
      <c r="B2" s="15" t="s">
        <v>0</v>
      </c>
      <c r="C2" s="16" t="s">
        <v>101</v>
      </c>
      <c r="D2" s="17" t="s">
        <v>102</v>
      </c>
      <c r="E2" s="18" t="s">
        <v>210</v>
      </c>
      <c r="F2" s="57" t="s">
        <v>250</v>
      </c>
    </row>
    <row r="3" spans="1:9" ht="20" customHeight="1" x14ac:dyDescent="0.2">
      <c r="A3" s="7">
        <v>1</v>
      </c>
      <c r="B3" s="43" t="s">
        <v>1</v>
      </c>
      <c r="C3" s="3">
        <v>966750406</v>
      </c>
      <c r="D3" s="41" t="s">
        <v>103</v>
      </c>
      <c r="E3" s="10" t="s">
        <v>230</v>
      </c>
      <c r="F3" s="43" t="s">
        <v>252</v>
      </c>
      <c r="I3" s="20"/>
    </row>
    <row r="4" spans="1:9" ht="20" customHeight="1" x14ac:dyDescent="0.2">
      <c r="A4" s="19">
        <v>2</v>
      </c>
      <c r="B4" s="43" t="s">
        <v>176</v>
      </c>
      <c r="C4" s="2"/>
      <c r="D4" s="41"/>
      <c r="E4" s="9">
        <v>18733</v>
      </c>
      <c r="F4" s="41"/>
    </row>
    <row r="5" spans="1:9" ht="20" customHeight="1" x14ac:dyDescent="0.2">
      <c r="A5" s="7">
        <v>3</v>
      </c>
      <c r="B5" s="43" t="s">
        <v>2</v>
      </c>
      <c r="C5" s="2"/>
      <c r="D5" s="41"/>
      <c r="E5" s="9"/>
      <c r="F5" s="41" t="s">
        <v>352</v>
      </c>
    </row>
    <row r="6" spans="1:9" ht="20" customHeight="1" x14ac:dyDescent="0.2">
      <c r="A6" s="19">
        <v>4</v>
      </c>
      <c r="B6" s="43" t="s">
        <v>4</v>
      </c>
      <c r="C6" s="2">
        <v>912765270</v>
      </c>
      <c r="D6" s="41" t="s">
        <v>106</v>
      </c>
      <c r="E6" s="11">
        <v>25283</v>
      </c>
      <c r="F6" s="43" t="s">
        <v>253</v>
      </c>
    </row>
    <row r="7" spans="1:9" ht="20" customHeight="1" x14ac:dyDescent="0.2">
      <c r="A7" s="7">
        <v>5</v>
      </c>
      <c r="B7" s="43" t="s">
        <v>5</v>
      </c>
      <c r="C7" s="3">
        <v>962544544</v>
      </c>
      <c r="D7" s="42" t="s">
        <v>107</v>
      </c>
      <c r="E7" s="10">
        <v>27715</v>
      </c>
      <c r="F7" s="43" t="s">
        <v>254</v>
      </c>
    </row>
    <row r="8" spans="1:9" ht="20" customHeight="1" x14ac:dyDescent="0.2">
      <c r="A8" s="19">
        <v>6</v>
      </c>
      <c r="B8" s="43" t="s">
        <v>6</v>
      </c>
      <c r="C8" s="4">
        <v>919451168</v>
      </c>
      <c r="D8" s="41"/>
      <c r="E8" s="9"/>
      <c r="F8" s="41"/>
    </row>
    <row r="9" spans="1:9" ht="20" customHeight="1" x14ac:dyDescent="0.2">
      <c r="A9" s="7">
        <v>7</v>
      </c>
      <c r="B9" s="43" t="s">
        <v>191</v>
      </c>
      <c r="C9" s="4">
        <v>913352977</v>
      </c>
      <c r="D9" s="58" t="s">
        <v>356</v>
      </c>
      <c r="E9" s="32"/>
      <c r="F9" s="43"/>
    </row>
    <row r="10" spans="1:9" ht="20" customHeight="1" x14ac:dyDescent="0.2">
      <c r="A10" s="19">
        <v>8</v>
      </c>
      <c r="B10" s="43" t="s">
        <v>7</v>
      </c>
      <c r="C10" s="5">
        <v>963748014</v>
      </c>
      <c r="D10" s="41" t="s">
        <v>350</v>
      </c>
      <c r="E10" s="11">
        <v>21108</v>
      </c>
      <c r="F10" s="49"/>
    </row>
    <row r="11" spans="1:9" ht="20" customHeight="1" x14ac:dyDescent="0.2">
      <c r="A11" s="7">
        <v>9</v>
      </c>
      <c r="B11" s="43" t="s">
        <v>8</v>
      </c>
      <c r="C11" s="3">
        <v>962544544</v>
      </c>
      <c r="D11" s="41" t="s">
        <v>350</v>
      </c>
      <c r="E11" s="10" t="s">
        <v>219</v>
      </c>
      <c r="F11" s="43" t="s">
        <v>255</v>
      </c>
    </row>
    <row r="12" spans="1:9" ht="20" customHeight="1" x14ac:dyDescent="0.2">
      <c r="A12" s="19">
        <v>10</v>
      </c>
      <c r="B12" s="43" t="s">
        <v>9</v>
      </c>
      <c r="C12" s="2">
        <v>967920416</v>
      </c>
      <c r="D12" s="41" t="s">
        <v>353</v>
      </c>
      <c r="E12" s="9">
        <v>23773</v>
      </c>
      <c r="F12" s="41" t="s">
        <v>256</v>
      </c>
    </row>
    <row r="13" spans="1:9" ht="20" customHeight="1" x14ac:dyDescent="0.2">
      <c r="A13" s="7">
        <v>11</v>
      </c>
      <c r="B13" s="43" t="s">
        <v>10</v>
      </c>
      <c r="C13" s="3">
        <v>914257808</v>
      </c>
      <c r="D13" s="42" t="s">
        <v>108</v>
      </c>
      <c r="E13" s="10" t="s">
        <v>220</v>
      </c>
      <c r="F13" s="50"/>
    </row>
    <row r="14" spans="1:9" ht="20" customHeight="1" x14ac:dyDescent="0.2">
      <c r="A14" s="19">
        <v>12</v>
      </c>
      <c r="B14" s="43" t="s">
        <v>11</v>
      </c>
      <c r="C14" s="2">
        <v>963458269</v>
      </c>
      <c r="D14" s="42" t="s">
        <v>180</v>
      </c>
      <c r="E14" s="11" t="s">
        <v>211</v>
      </c>
      <c r="F14" s="50"/>
    </row>
    <row r="15" spans="1:9" s="27" customFormat="1" ht="20" customHeight="1" x14ac:dyDescent="0.2">
      <c r="A15" s="7">
        <v>13</v>
      </c>
      <c r="B15" s="43" t="s">
        <v>322</v>
      </c>
      <c r="C15" s="2">
        <v>911167341</v>
      </c>
      <c r="D15" s="33" t="s">
        <v>323</v>
      </c>
      <c r="E15" s="11">
        <v>25358</v>
      </c>
      <c r="F15" s="50"/>
    </row>
    <row r="16" spans="1:9" ht="20" customHeight="1" x14ac:dyDescent="0.2">
      <c r="A16" s="19">
        <v>14</v>
      </c>
      <c r="B16" s="43" t="s">
        <v>12</v>
      </c>
      <c r="C16" s="2">
        <v>936970079</v>
      </c>
      <c r="D16" s="41" t="s">
        <v>353</v>
      </c>
      <c r="E16" s="10" t="s">
        <v>239</v>
      </c>
      <c r="F16" s="43" t="s">
        <v>257</v>
      </c>
    </row>
    <row r="17" spans="1:6" ht="20" customHeight="1" x14ac:dyDescent="0.2">
      <c r="A17" s="7">
        <v>15</v>
      </c>
      <c r="B17" s="43" t="s">
        <v>13</v>
      </c>
      <c r="C17" s="3">
        <v>968504083</v>
      </c>
      <c r="D17" s="42" t="s">
        <v>109</v>
      </c>
      <c r="E17" s="10" t="s">
        <v>224</v>
      </c>
      <c r="F17" s="50"/>
    </row>
    <row r="18" spans="1:6" ht="20" customHeight="1" x14ac:dyDescent="0.2">
      <c r="A18" s="19">
        <v>16</v>
      </c>
      <c r="B18" s="43" t="s">
        <v>345</v>
      </c>
      <c r="C18" s="3">
        <v>961464165</v>
      </c>
      <c r="D18" s="34" t="s">
        <v>346</v>
      </c>
      <c r="E18" s="10">
        <v>30373</v>
      </c>
      <c r="F18" s="50"/>
    </row>
    <row r="19" spans="1:6" ht="20" customHeight="1" x14ac:dyDescent="0.2">
      <c r="A19" s="7">
        <v>17</v>
      </c>
      <c r="B19" s="43" t="s">
        <v>14</v>
      </c>
      <c r="C19" s="2">
        <v>914661325</v>
      </c>
      <c r="D19" s="35" t="s">
        <v>318</v>
      </c>
      <c r="E19" s="32"/>
      <c r="F19" s="43" t="s">
        <v>331</v>
      </c>
    </row>
    <row r="20" spans="1:6" ht="20" customHeight="1" x14ac:dyDescent="0.2">
      <c r="A20" s="19">
        <v>18</v>
      </c>
      <c r="B20" s="43" t="s">
        <v>207</v>
      </c>
      <c r="C20" s="3">
        <v>938362446</v>
      </c>
      <c r="D20" s="42" t="s">
        <v>110</v>
      </c>
      <c r="E20" s="32"/>
      <c r="F20" s="43"/>
    </row>
    <row r="21" spans="1:6" ht="20" customHeight="1" x14ac:dyDescent="0.2">
      <c r="A21" s="7">
        <v>19</v>
      </c>
      <c r="B21" s="43" t="s">
        <v>15</v>
      </c>
      <c r="C21" s="3">
        <v>927363931</v>
      </c>
      <c r="D21" s="42" t="s">
        <v>111</v>
      </c>
      <c r="E21" s="11" t="s">
        <v>217</v>
      </c>
      <c r="F21" s="43" t="s">
        <v>258</v>
      </c>
    </row>
    <row r="22" spans="1:6" ht="20" customHeight="1" x14ac:dyDescent="0.2">
      <c r="A22" s="19">
        <v>20</v>
      </c>
      <c r="B22" s="43" t="s">
        <v>16</v>
      </c>
      <c r="C22" s="3">
        <v>917252684</v>
      </c>
      <c r="D22" s="42" t="s">
        <v>112</v>
      </c>
      <c r="E22" s="11" t="s">
        <v>221</v>
      </c>
      <c r="F22" s="43" t="s">
        <v>259</v>
      </c>
    </row>
    <row r="23" spans="1:6" ht="20" customHeight="1" x14ac:dyDescent="0.2">
      <c r="A23" s="7">
        <v>21</v>
      </c>
      <c r="B23" s="43" t="s">
        <v>17</v>
      </c>
      <c r="C23" s="8">
        <v>964998573</v>
      </c>
      <c r="D23" s="41" t="s">
        <v>350</v>
      </c>
      <c r="E23" s="13">
        <v>17596</v>
      </c>
      <c r="F23" s="51"/>
    </row>
    <row r="24" spans="1:6" ht="20" customHeight="1" x14ac:dyDescent="0.2">
      <c r="A24" s="19">
        <v>22</v>
      </c>
      <c r="B24" s="43" t="s">
        <v>18</v>
      </c>
      <c r="C24" s="3">
        <v>935949176</v>
      </c>
      <c r="D24" s="41"/>
      <c r="E24" s="9"/>
      <c r="F24" s="43" t="s">
        <v>260</v>
      </c>
    </row>
    <row r="25" spans="1:6" ht="20" customHeight="1" x14ac:dyDescent="0.2">
      <c r="A25" s="7">
        <v>23</v>
      </c>
      <c r="B25" s="43" t="s">
        <v>19</v>
      </c>
      <c r="C25" s="3">
        <v>966650613</v>
      </c>
      <c r="D25" s="42" t="s">
        <v>113</v>
      </c>
      <c r="E25" s="36">
        <v>25248</v>
      </c>
      <c r="F25" s="37"/>
    </row>
    <row r="26" spans="1:6" ht="20" customHeight="1" x14ac:dyDescent="0.2">
      <c r="A26" s="19">
        <v>24</v>
      </c>
      <c r="B26" s="43" t="s">
        <v>20</v>
      </c>
      <c r="C26" s="3">
        <v>915848789</v>
      </c>
      <c r="D26" s="42" t="s">
        <v>114</v>
      </c>
      <c r="E26" s="32"/>
      <c r="F26" s="43" t="s">
        <v>261</v>
      </c>
    </row>
    <row r="27" spans="1:6" s="27" customFormat="1" ht="20" customHeight="1" x14ac:dyDescent="0.2">
      <c r="A27" s="7">
        <v>25</v>
      </c>
      <c r="B27" s="43" t="s">
        <v>192</v>
      </c>
      <c r="C27" s="3">
        <v>910232270</v>
      </c>
      <c r="D27" s="43" t="s">
        <v>193</v>
      </c>
      <c r="E27" s="12">
        <v>33024</v>
      </c>
      <c r="F27" s="43"/>
    </row>
    <row r="28" spans="1:6" s="27" customFormat="1" ht="20" customHeight="1" x14ac:dyDescent="0.2">
      <c r="A28" s="19">
        <v>26</v>
      </c>
      <c r="B28" s="43" t="s">
        <v>194</v>
      </c>
      <c r="C28" s="3">
        <v>934517228</v>
      </c>
      <c r="D28" s="43" t="s">
        <v>195</v>
      </c>
      <c r="E28" s="12"/>
      <c r="F28" s="43"/>
    </row>
    <row r="29" spans="1:6" ht="20" customHeight="1" x14ac:dyDescent="0.2">
      <c r="A29" s="7">
        <v>27</v>
      </c>
      <c r="B29" s="43" t="s">
        <v>21</v>
      </c>
      <c r="C29" s="2">
        <v>962564960</v>
      </c>
      <c r="D29" s="42" t="s">
        <v>115</v>
      </c>
      <c r="E29" s="10" t="s">
        <v>241</v>
      </c>
      <c r="F29" s="43" t="s">
        <v>262</v>
      </c>
    </row>
    <row r="30" spans="1:6" ht="20" customHeight="1" x14ac:dyDescent="0.2">
      <c r="A30" s="19">
        <v>28</v>
      </c>
      <c r="B30" s="43" t="s">
        <v>22</v>
      </c>
      <c r="C30" s="2">
        <v>969640536</v>
      </c>
      <c r="D30" s="42" t="s">
        <v>212</v>
      </c>
      <c r="E30" s="37">
        <v>25254</v>
      </c>
      <c r="F30" s="37"/>
    </row>
    <row r="31" spans="1:6" ht="20" customHeight="1" x14ac:dyDescent="0.2">
      <c r="A31" s="7">
        <v>29</v>
      </c>
      <c r="B31" s="43" t="s">
        <v>117</v>
      </c>
      <c r="C31" s="3">
        <v>965717833</v>
      </c>
      <c r="D31" s="42" t="s">
        <v>116</v>
      </c>
      <c r="E31" s="10" t="s">
        <v>222</v>
      </c>
      <c r="F31" s="43" t="s">
        <v>263</v>
      </c>
    </row>
    <row r="32" spans="1:6" ht="20" customHeight="1" x14ac:dyDescent="0.2">
      <c r="A32" s="19">
        <v>30</v>
      </c>
      <c r="B32" s="43" t="s">
        <v>23</v>
      </c>
      <c r="C32" s="2">
        <v>914049605</v>
      </c>
      <c r="D32" s="42" t="s">
        <v>181</v>
      </c>
      <c r="E32" s="32" t="s">
        <v>364</v>
      </c>
      <c r="F32" s="43" t="s">
        <v>264</v>
      </c>
    </row>
    <row r="33" spans="1:7" ht="20" customHeight="1" x14ac:dyDescent="0.2">
      <c r="A33" s="7">
        <v>31</v>
      </c>
      <c r="B33" s="43" t="s">
        <v>24</v>
      </c>
      <c r="C33" s="2"/>
      <c r="D33" s="41"/>
      <c r="E33" s="9">
        <v>28964</v>
      </c>
      <c r="F33" s="41"/>
      <c r="G33" t="s">
        <v>351</v>
      </c>
    </row>
    <row r="34" spans="1:7" ht="20" customHeight="1" x14ac:dyDescent="0.2">
      <c r="A34" s="19">
        <v>32</v>
      </c>
      <c r="B34" s="43" t="s">
        <v>25</v>
      </c>
      <c r="C34" s="3">
        <v>965781869</v>
      </c>
      <c r="D34" s="42" t="s">
        <v>118</v>
      </c>
      <c r="E34" s="32"/>
      <c r="F34" s="43"/>
    </row>
    <row r="35" spans="1:7" ht="20" customHeight="1" x14ac:dyDescent="0.2">
      <c r="A35" s="7">
        <v>33</v>
      </c>
      <c r="B35" s="43" t="s">
        <v>182</v>
      </c>
      <c r="C35" s="38">
        <v>925355963</v>
      </c>
      <c r="D35" s="42" t="s">
        <v>158</v>
      </c>
      <c r="E35" s="32">
        <v>23602</v>
      </c>
      <c r="F35" s="43" t="s">
        <v>265</v>
      </c>
    </row>
    <row r="36" spans="1:7" ht="20" customHeight="1" x14ac:dyDescent="0.2">
      <c r="A36" s="19">
        <v>34</v>
      </c>
      <c r="B36" s="43" t="s">
        <v>26</v>
      </c>
      <c r="C36" s="3">
        <v>910295764</v>
      </c>
      <c r="D36" s="43" t="s">
        <v>119</v>
      </c>
      <c r="E36" s="36">
        <v>32543</v>
      </c>
      <c r="F36" s="43" t="s">
        <v>266</v>
      </c>
    </row>
    <row r="37" spans="1:7" ht="20" customHeight="1" x14ac:dyDescent="0.2">
      <c r="A37" s="7">
        <v>35</v>
      </c>
      <c r="B37" s="43" t="s">
        <v>27</v>
      </c>
      <c r="C37" s="3">
        <v>913031688</v>
      </c>
      <c r="D37" s="42" t="s">
        <v>120</v>
      </c>
      <c r="E37" s="10" t="s">
        <v>246</v>
      </c>
      <c r="F37" s="43" t="s">
        <v>267</v>
      </c>
    </row>
    <row r="38" spans="1:7" ht="20" customHeight="1" x14ac:dyDescent="0.2">
      <c r="A38" s="19">
        <v>36</v>
      </c>
      <c r="B38" s="43" t="s">
        <v>28</v>
      </c>
      <c r="C38" s="2">
        <v>963489280</v>
      </c>
      <c r="D38" s="42" t="s">
        <v>121</v>
      </c>
      <c r="E38" s="10" t="s">
        <v>248</v>
      </c>
      <c r="F38" s="52"/>
    </row>
    <row r="39" spans="1:7" ht="20" customHeight="1" x14ac:dyDescent="0.2">
      <c r="A39" s="7">
        <v>37</v>
      </c>
      <c r="B39" s="43" t="s">
        <v>29</v>
      </c>
      <c r="C39" s="2">
        <v>966314453</v>
      </c>
      <c r="D39" s="41"/>
      <c r="E39" s="9">
        <v>17095</v>
      </c>
      <c r="F39" s="41"/>
    </row>
    <row r="40" spans="1:7" ht="20" customHeight="1" x14ac:dyDescent="0.2">
      <c r="A40" s="19">
        <v>38</v>
      </c>
      <c r="B40" s="43" t="s">
        <v>30</v>
      </c>
      <c r="C40" s="2">
        <v>936322791</v>
      </c>
      <c r="D40" s="41"/>
      <c r="E40" s="36">
        <v>19392</v>
      </c>
      <c r="F40" s="37"/>
    </row>
    <row r="41" spans="1:7" ht="20" customHeight="1" x14ac:dyDescent="0.2">
      <c r="A41" s="7">
        <v>39</v>
      </c>
      <c r="B41" s="43" t="s">
        <v>31</v>
      </c>
      <c r="C41" s="3">
        <v>967296794</v>
      </c>
      <c r="D41" s="42" t="s">
        <v>122</v>
      </c>
      <c r="E41" s="36">
        <v>31830</v>
      </c>
      <c r="F41" s="43" t="s">
        <v>268</v>
      </c>
    </row>
    <row r="42" spans="1:7" ht="20" customHeight="1" x14ac:dyDescent="0.2">
      <c r="A42" s="19">
        <v>40</v>
      </c>
      <c r="B42" s="43" t="s">
        <v>329</v>
      </c>
      <c r="C42" s="3">
        <v>968143639</v>
      </c>
      <c r="D42" s="42"/>
      <c r="E42" s="36"/>
      <c r="F42" s="43"/>
    </row>
    <row r="43" spans="1:7" s="27" customFormat="1" ht="20" customHeight="1" x14ac:dyDescent="0.2">
      <c r="A43" s="7">
        <v>41</v>
      </c>
      <c r="B43" s="43" t="s">
        <v>32</v>
      </c>
      <c r="C43" s="3">
        <v>912960175</v>
      </c>
      <c r="D43" s="43" t="s">
        <v>140</v>
      </c>
      <c r="E43" s="12">
        <v>36111</v>
      </c>
      <c r="F43" s="43"/>
    </row>
    <row r="44" spans="1:7" ht="20" customHeight="1" x14ac:dyDescent="0.2">
      <c r="A44" s="19">
        <v>42</v>
      </c>
      <c r="B44" s="43" t="s">
        <v>33</v>
      </c>
      <c r="C44" s="3">
        <v>967795626</v>
      </c>
      <c r="D44" s="42" t="s">
        <v>123</v>
      </c>
      <c r="E44" s="10" t="s">
        <v>237</v>
      </c>
      <c r="F44" s="43" t="s">
        <v>269</v>
      </c>
    </row>
    <row r="45" spans="1:7" ht="20" customHeight="1" x14ac:dyDescent="0.2">
      <c r="A45" s="7">
        <v>43</v>
      </c>
      <c r="B45" s="43" t="s">
        <v>34</v>
      </c>
      <c r="C45" s="2">
        <v>213147776</v>
      </c>
      <c r="D45" s="41"/>
      <c r="E45" s="9">
        <v>12545</v>
      </c>
      <c r="F45" s="41"/>
    </row>
    <row r="46" spans="1:7" ht="20" customHeight="1" x14ac:dyDescent="0.2">
      <c r="A46" s="19">
        <v>44</v>
      </c>
      <c r="B46" s="43" t="s">
        <v>35</v>
      </c>
      <c r="C46" s="2">
        <v>913103663</v>
      </c>
      <c r="D46" s="41"/>
      <c r="E46" s="10" t="s">
        <v>231</v>
      </c>
      <c r="F46" s="43" t="s">
        <v>270</v>
      </c>
    </row>
    <row r="47" spans="1:7" ht="20" customHeight="1" x14ac:dyDescent="0.2">
      <c r="A47" s="7">
        <v>45</v>
      </c>
      <c r="B47" s="43" t="s">
        <v>36</v>
      </c>
      <c r="C47" s="2">
        <v>919840649</v>
      </c>
      <c r="D47" s="42" t="s">
        <v>124</v>
      </c>
      <c r="E47" s="10" t="s">
        <v>223</v>
      </c>
      <c r="F47" s="50"/>
    </row>
    <row r="48" spans="1:7" ht="20" customHeight="1" x14ac:dyDescent="0.2">
      <c r="A48" s="19">
        <v>46</v>
      </c>
      <c r="B48" s="43" t="s">
        <v>37</v>
      </c>
      <c r="C48" s="3">
        <v>964317090</v>
      </c>
      <c r="D48" s="43" t="s">
        <v>125</v>
      </c>
      <c r="E48" s="12">
        <v>26833</v>
      </c>
      <c r="F48" s="43" t="s">
        <v>271</v>
      </c>
    </row>
    <row r="49" spans="1:6" ht="20" customHeight="1" x14ac:dyDescent="0.2">
      <c r="A49" s="7">
        <v>47</v>
      </c>
      <c r="B49" s="44" t="s">
        <v>38</v>
      </c>
      <c r="C49" s="3">
        <v>919635959</v>
      </c>
      <c r="D49" s="42" t="s">
        <v>126</v>
      </c>
      <c r="E49" s="32">
        <v>18781</v>
      </c>
      <c r="F49" s="43" t="s">
        <v>272</v>
      </c>
    </row>
    <row r="50" spans="1:6" ht="20" customHeight="1" x14ac:dyDescent="0.2">
      <c r="A50" s="19">
        <v>48</v>
      </c>
      <c r="B50" s="43" t="s">
        <v>39</v>
      </c>
      <c r="C50" s="2">
        <v>964442745</v>
      </c>
      <c r="D50" s="41"/>
      <c r="E50" s="10">
        <v>22818</v>
      </c>
      <c r="F50" s="43" t="s">
        <v>273</v>
      </c>
    </row>
    <row r="51" spans="1:6" ht="20" customHeight="1" x14ac:dyDescent="0.2">
      <c r="A51" s="7">
        <v>49</v>
      </c>
      <c r="B51" s="45" t="s">
        <v>40</v>
      </c>
      <c r="C51" s="2">
        <v>914902151</v>
      </c>
      <c r="D51" s="42" t="s">
        <v>127</v>
      </c>
      <c r="E51" s="32"/>
      <c r="F51" s="43" t="s">
        <v>274</v>
      </c>
    </row>
    <row r="52" spans="1:6" ht="20" customHeight="1" x14ac:dyDescent="0.2">
      <c r="A52" s="19">
        <v>50</v>
      </c>
      <c r="B52" s="43" t="s">
        <v>128</v>
      </c>
      <c r="C52" s="2">
        <v>968256989</v>
      </c>
      <c r="D52" s="41"/>
      <c r="E52" s="10" t="s">
        <v>247</v>
      </c>
      <c r="F52" s="43" t="s">
        <v>275</v>
      </c>
    </row>
    <row r="53" spans="1:6" s="27" customFormat="1" ht="20" customHeight="1" x14ac:dyDescent="0.2">
      <c r="A53" s="7">
        <v>51</v>
      </c>
      <c r="B53" s="45" t="s">
        <v>177</v>
      </c>
      <c r="C53" s="2">
        <v>965172599</v>
      </c>
      <c r="D53" s="43" t="s">
        <v>141</v>
      </c>
      <c r="E53" s="11" t="s">
        <v>245</v>
      </c>
      <c r="F53" s="52"/>
    </row>
    <row r="54" spans="1:6" ht="20" customHeight="1" x14ac:dyDescent="0.2">
      <c r="A54" s="19">
        <v>52</v>
      </c>
      <c r="B54" s="43" t="s">
        <v>41</v>
      </c>
      <c r="C54" s="3">
        <v>961201449</v>
      </c>
      <c r="D54" s="42" t="s">
        <v>129</v>
      </c>
      <c r="E54" s="11">
        <v>22010</v>
      </c>
      <c r="F54" s="49"/>
    </row>
    <row r="55" spans="1:6" ht="20" customHeight="1" x14ac:dyDescent="0.2">
      <c r="A55" s="7">
        <v>53</v>
      </c>
      <c r="B55" s="43" t="s">
        <v>42</v>
      </c>
      <c r="C55" s="3">
        <v>915759595</v>
      </c>
      <c r="D55" s="42" t="s">
        <v>130</v>
      </c>
      <c r="E55" s="11" t="s">
        <v>213</v>
      </c>
      <c r="F55" s="50"/>
    </row>
    <row r="56" spans="1:6" s="27" customFormat="1" ht="20" customHeight="1" x14ac:dyDescent="0.2">
      <c r="A56" s="19">
        <v>54</v>
      </c>
      <c r="B56" s="43" t="s">
        <v>43</v>
      </c>
      <c r="C56" s="2">
        <v>917763609</v>
      </c>
      <c r="D56" s="43" t="s">
        <v>183</v>
      </c>
      <c r="E56" s="12"/>
      <c r="F56" s="43" t="s">
        <v>332</v>
      </c>
    </row>
    <row r="57" spans="1:6" ht="20" customHeight="1" x14ac:dyDescent="0.2">
      <c r="A57" s="7">
        <v>55</v>
      </c>
      <c r="B57" s="43" t="s">
        <v>44</v>
      </c>
      <c r="C57" s="3">
        <v>963680898</v>
      </c>
      <c r="D57" s="42" t="s">
        <v>131</v>
      </c>
      <c r="E57" s="32" t="s">
        <v>358</v>
      </c>
      <c r="F57" s="42" t="s">
        <v>276</v>
      </c>
    </row>
    <row r="58" spans="1:6" ht="20" customHeight="1" x14ac:dyDescent="0.2">
      <c r="A58" s="19">
        <v>56</v>
      </c>
      <c r="B58" s="43" t="s">
        <v>45</v>
      </c>
      <c r="C58" s="2">
        <v>964294024</v>
      </c>
      <c r="D58" s="41"/>
      <c r="E58" s="9">
        <v>20447</v>
      </c>
      <c r="F58" s="41"/>
    </row>
    <row r="59" spans="1:6" ht="20" customHeight="1" x14ac:dyDescent="0.2">
      <c r="A59" s="7">
        <v>57</v>
      </c>
      <c r="B59" s="43" t="s">
        <v>46</v>
      </c>
      <c r="C59" s="3">
        <v>927746964</v>
      </c>
      <c r="D59" s="42" t="s">
        <v>132</v>
      </c>
      <c r="E59" s="32">
        <v>22456</v>
      </c>
      <c r="F59" s="59" t="s">
        <v>359</v>
      </c>
    </row>
    <row r="60" spans="1:6" ht="20" customHeight="1" x14ac:dyDescent="0.2">
      <c r="A60" s="19">
        <v>58</v>
      </c>
      <c r="B60" s="43" t="s">
        <v>347</v>
      </c>
      <c r="C60" s="3">
        <v>936250659</v>
      </c>
      <c r="D60" t="s">
        <v>360</v>
      </c>
      <c r="E60" s="32">
        <v>24606</v>
      </c>
      <c r="F60" s="42"/>
    </row>
    <row r="61" spans="1:6" ht="20" customHeight="1" x14ac:dyDescent="0.2">
      <c r="A61" s="7">
        <v>59</v>
      </c>
      <c r="B61" s="43" t="s">
        <v>47</v>
      </c>
      <c r="C61" s="3">
        <v>934005083</v>
      </c>
      <c r="D61" s="42" t="s">
        <v>133</v>
      </c>
      <c r="E61" s="37">
        <v>21967</v>
      </c>
      <c r="F61" s="42" t="s">
        <v>277</v>
      </c>
    </row>
    <row r="62" spans="1:6" ht="20" customHeight="1" x14ac:dyDescent="0.2">
      <c r="A62" s="19">
        <v>60</v>
      </c>
      <c r="B62" s="43" t="s">
        <v>339</v>
      </c>
      <c r="C62" s="3">
        <v>966060903</v>
      </c>
      <c r="D62" s="34" t="s">
        <v>340</v>
      </c>
      <c r="E62" s="37">
        <v>25516</v>
      </c>
      <c r="F62" s="42"/>
    </row>
    <row r="63" spans="1:6" ht="20" customHeight="1" x14ac:dyDescent="0.2">
      <c r="A63" s="7">
        <v>61</v>
      </c>
      <c r="B63" s="43" t="s">
        <v>48</v>
      </c>
      <c r="C63" s="3">
        <v>938451418</v>
      </c>
      <c r="D63" s="42" t="s">
        <v>134</v>
      </c>
      <c r="E63" s="10">
        <v>19069</v>
      </c>
      <c r="F63" s="42" t="s">
        <v>278</v>
      </c>
    </row>
    <row r="64" spans="1:6" ht="20" customHeight="1" x14ac:dyDescent="0.2">
      <c r="A64" s="19">
        <v>62</v>
      </c>
      <c r="B64" s="43" t="s">
        <v>49</v>
      </c>
      <c r="C64" s="2"/>
      <c r="D64" s="43" t="s">
        <v>135</v>
      </c>
      <c r="E64" s="12">
        <v>18946</v>
      </c>
      <c r="F64" s="42" t="s">
        <v>279</v>
      </c>
    </row>
    <row r="65" spans="1:6" ht="20" customHeight="1" x14ac:dyDescent="0.2">
      <c r="A65" s="7">
        <v>63</v>
      </c>
      <c r="B65" s="43" t="s">
        <v>50</v>
      </c>
      <c r="C65" s="2">
        <v>965721521</v>
      </c>
      <c r="D65" s="43" t="s">
        <v>136</v>
      </c>
      <c r="E65" s="37">
        <v>17218</v>
      </c>
      <c r="F65" s="42" t="s">
        <v>280</v>
      </c>
    </row>
    <row r="66" spans="1:6" s="27" customFormat="1" ht="20" customHeight="1" x14ac:dyDescent="0.2">
      <c r="A66" s="19">
        <v>64</v>
      </c>
      <c r="B66" s="43" t="s">
        <v>184</v>
      </c>
      <c r="C66" s="2">
        <v>932996002</v>
      </c>
      <c r="D66" s="43" t="s">
        <v>138</v>
      </c>
      <c r="E66" s="12">
        <v>22052</v>
      </c>
      <c r="F66" s="43"/>
    </row>
    <row r="67" spans="1:6" ht="20" customHeight="1" x14ac:dyDescent="0.2">
      <c r="A67" s="7">
        <v>65</v>
      </c>
      <c r="B67" s="43" t="s">
        <v>51</v>
      </c>
      <c r="C67" s="3">
        <v>961886841</v>
      </c>
      <c r="D67" s="42" t="s">
        <v>137</v>
      </c>
      <c r="E67" s="10">
        <v>24676</v>
      </c>
      <c r="F67" s="42" t="s">
        <v>281</v>
      </c>
    </row>
    <row r="68" spans="1:6" ht="20" customHeight="1" x14ac:dyDescent="0.2">
      <c r="A68" s="19">
        <v>66</v>
      </c>
      <c r="B68" s="43" t="s">
        <v>52</v>
      </c>
      <c r="C68" s="2">
        <v>913103663</v>
      </c>
      <c r="D68" s="41"/>
      <c r="E68" s="37">
        <v>16470</v>
      </c>
      <c r="F68" s="43" t="s">
        <v>282</v>
      </c>
    </row>
    <row r="69" spans="1:6" ht="20" customHeight="1" x14ac:dyDescent="0.2">
      <c r="A69" s="7">
        <v>67</v>
      </c>
      <c r="B69" s="43" t="s">
        <v>139</v>
      </c>
      <c r="C69" s="3">
        <v>917253154</v>
      </c>
      <c r="D69" s="42" t="s">
        <v>142</v>
      </c>
      <c r="E69" s="11" t="s">
        <v>214</v>
      </c>
      <c r="F69" s="50"/>
    </row>
    <row r="70" spans="1:6" ht="20" customHeight="1" x14ac:dyDescent="0.2">
      <c r="A70" s="19">
        <v>68</v>
      </c>
      <c r="B70" s="46" t="s">
        <v>178</v>
      </c>
      <c r="C70" s="2">
        <v>916991857</v>
      </c>
      <c r="D70" s="41"/>
      <c r="E70" s="9">
        <v>28677</v>
      </c>
      <c r="F70" s="41"/>
    </row>
    <row r="71" spans="1:6" ht="20" customHeight="1" x14ac:dyDescent="0.2">
      <c r="A71" s="7">
        <v>69</v>
      </c>
      <c r="B71" s="43" t="s">
        <v>53</v>
      </c>
      <c r="C71" s="2">
        <v>918521773</v>
      </c>
      <c r="D71" s="42" t="s">
        <v>185</v>
      </c>
      <c r="E71" s="10" t="s">
        <v>232</v>
      </c>
      <c r="F71" s="46"/>
    </row>
    <row r="72" spans="1:6" ht="20" customHeight="1" x14ac:dyDescent="0.2">
      <c r="A72" s="19">
        <v>70</v>
      </c>
      <c r="B72" s="45" t="s">
        <v>54</v>
      </c>
      <c r="C72" s="2">
        <v>962863547</v>
      </c>
      <c r="D72" s="41"/>
      <c r="E72" s="10" t="s">
        <v>240</v>
      </c>
      <c r="F72" s="46"/>
    </row>
    <row r="73" spans="1:6" ht="20" customHeight="1" x14ac:dyDescent="0.2">
      <c r="A73" s="7">
        <v>71</v>
      </c>
      <c r="B73" s="43" t="s">
        <v>55</v>
      </c>
      <c r="C73" s="2">
        <v>914587038</v>
      </c>
      <c r="D73" s="41"/>
      <c r="E73" s="11">
        <v>22734</v>
      </c>
      <c r="F73" s="42" t="s">
        <v>283</v>
      </c>
    </row>
    <row r="74" spans="1:6" ht="20" customHeight="1" x14ac:dyDescent="0.2">
      <c r="A74" s="19">
        <v>72</v>
      </c>
      <c r="B74" s="43" t="s">
        <v>56</v>
      </c>
      <c r="C74" s="3">
        <v>936680469</v>
      </c>
      <c r="D74" s="42" t="s">
        <v>147</v>
      </c>
      <c r="E74" s="32"/>
      <c r="F74" s="42"/>
    </row>
    <row r="75" spans="1:6" ht="20" customHeight="1" x14ac:dyDescent="0.2">
      <c r="A75" s="7">
        <v>73</v>
      </c>
      <c r="B75" s="45" t="s">
        <v>57</v>
      </c>
      <c r="C75" s="2">
        <v>933582420</v>
      </c>
      <c r="D75" s="42" t="s">
        <v>105</v>
      </c>
      <c r="E75" s="32">
        <v>19507</v>
      </c>
      <c r="F75" s="42" t="s">
        <v>284</v>
      </c>
    </row>
    <row r="76" spans="1:6" ht="20" customHeight="1" x14ac:dyDescent="0.2">
      <c r="A76" s="19">
        <v>74</v>
      </c>
      <c r="B76" s="43" t="s">
        <v>149</v>
      </c>
      <c r="C76" s="2">
        <v>965784816</v>
      </c>
      <c r="D76" s="42" t="s">
        <v>151</v>
      </c>
      <c r="E76" s="32">
        <v>18806</v>
      </c>
      <c r="F76" s="42" t="s">
        <v>285</v>
      </c>
    </row>
    <row r="77" spans="1:6" ht="20" customHeight="1" x14ac:dyDescent="0.2">
      <c r="A77" s="7">
        <v>75</v>
      </c>
      <c r="B77" s="43" t="s">
        <v>58</v>
      </c>
      <c r="C77" s="2">
        <v>939426249</v>
      </c>
      <c r="D77" s="41" t="s">
        <v>353</v>
      </c>
      <c r="E77" s="9" t="s">
        <v>354</v>
      </c>
      <c r="F77" s="41"/>
    </row>
    <row r="78" spans="1:6" ht="20" customHeight="1" x14ac:dyDescent="0.2">
      <c r="A78" s="19">
        <v>76</v>
      </c>
      <c r="B78" s="43" t="s">
        <v>59</v>
      </c>
      <c r="C78" s="2">
        <v>213954306</v>
      </c>
      <c r="D78" s="41"/>
      <c r="E78" s="9">
        <v>16072</v>
      </c>
      <c r="F78" s="41"/>
    </row>
    <row r="79" spans="1:6" ht="20" customHeight="1" x14ac:dyDescent="0.2">
      <c r="A79" s="7">
        <v>77</v>
      </c>
      <c r="B79" s="43" t="s">
        <v>60</v>
      </c>
      <c r="C79" s="2">
        <v>962943167</v>
      </c>
      <c r="D79" s="41"/>
      <c r="E79" s="10" t="s">
        <v>233</v>
      </c>
      <c r="F79" s="46"/>
    </row>
    <row r="80" spans="1:6" ht="20" customHeight="1" x14ac:dyDescent="0.2">
      <c r="A80" s="19">
        <v>78</v>
      </c>
      <c r="B80" s="43" t="s">
        <v>61</v>
      </c>
      <c r="C80" s="3">
        <v>966449439</v>
      </c>
      <c r="D80" s="42" t="s">
        <v>148</v>
      </c>
      <c r="E80" s="10">
        <v>16379</v>
      </c>
      <c r="F80" s="53"/>
    </row>
    <row r="81" spans="1:6" s="27" customFormat="1" ht="20" customHeight="1" x14ac:dyDescent="0.2">
      <c r="A81" s="7">
        <v>79</v>
      </c>
      <c r="B81" s="43" t="s">
        <v>152</v>
      </c>
      <c r="C81" s="3">
        <v>926373167</v>
      </c>
      <c r="D81" s="60" t="s">
        <v>153</v>
      </c>
      <c r="E81" s="12">
        <v>22244</v>
      </c>
      <c r="F81" s="43"/>
    </row>
    <row r="82" spans="1:6" s="27" customFormat="1" ht="20" customHeight="1" x14ac:dyDescent="0.2">
      <c r="A82" s="19">
        <v>80</v>
      </c>
      <c r="B82" s="43" t="s">
        <v>196</v>
      </c>
      <c r="C82" s="3">
        <v>965114252</v>
      </c>
      <c r="D82" s="43" t="s">
        <v>350</v>
      </c>
      <c r="E82" s="28">
        <v>17009</v>
      </c>
      <c r="F82" s="51"/>
    </row>
    <row r="83" spans="1:6" ht="20" customHeight="1" x14ac:dyDescent="0.2">
      <c r="A83" s="7">
        <v>81</v>
      </c>
      <c r="B83" s="43" t="s">
        <v>150</v>
      </c>
      <c r="C83" s="2">
        <v>938784075</v>
      </c>
      <c r="D83" s="41" t="s">
        <v>353</v>
      </c>
      <c r="E83" s="9">
        <v>17701</v>
      </c>
      <c r="F83" s="42" t="s">
        <v>287</v>
      </c>
    </row>
    <row r="84" spans="1:6" ht="20" customHeight="1" x14ac:dyDescent="0.2">
      <c r="A84" s="19">
        <v>82</v>
      </c>
      <c r="B84" s="43" t="s">
        <v>62</v>
      </c>
      <c r="C84" s="2">
        <v>912472919</v>
      </c>
      <c r="D84" s="43" t="s">
        <v>154</v>
      </c>
      <c r="E84" s="37">
        <v>20878</v>
      </c>
      <c r="F84" s="42" t="s">
        <v>288</v>
      </c>
    </row>
    <row r="85" spans="1:6" ht="20" customHeight="1" x14ac:dyDescent="0.2">
      <c r="A85" s="7">
        <v>83</v>
      </c>
      <c r="B85" s="43" t="s">
        <v>63</v>
      </c>
      <c r="C85" s="2">
        <v>922037775</v>
      </c>
      <c r="D85" s="42" t="s">
        <v>155</v>
      </c>
      <c r="E85" s="10">
        <v>19054</v>
      </c>
      <c r="F85" s="42" t="s">
        <v>286</v>
      </c>
    </row>
    <row r="86" spans="1:6" ht="20" customHeight="1" x14ac:dyDescent="0.2">
      <c r="A86" s="19">
        <v>84</v>
      </c>
      <c r="B86" s="43" t="s">
        <v>64</v>
      </c>
      <c r="C86" s="2">
        <v>213904513</v>
      </c>
      <c r="D86" s="41" t="s">
        <v>353</v>
      </c>
      <c r="E86" s="9">
        <v>13283</v>
      </c>
      <c r="F86" s="41"/>
    </row>
    <row r="87" spans="1:6" ht="20" customHeight="1" x14ac:dyDescent="0.2">
      <c r="A87" s="7">
        <v>85</v>
      </c>
      <c r="B87" s="43" t="s">
        <v>179</v>
      </c>
      <c r="C87" s="38">
        <v>933466460</v>
      </c>
      <c r="D87" s="42" t="s">
        <v>156</v>
      </c>
      <c r="E87" s="36">
        <v>18672</v>
      </c>
      <c r="F87" s="42" t="s">
        <v>289</v>
      </c>
    </row>
    <row r="88" spans="1:6" s="27" customFormat="1" ht="20" customHeight="1" x14ac:dyDescent="0.2">
      <c r="A88" s="19">
        <v>86</v>
      </c>
      <c r="B88" s="43" t="s">
        <v>197</v>
      </c>
      <c r="C88" s="3">
        <v>969644285</v>
      </c>
      <c r="D88" s="43" t="s">
        <v>198</v>
      </c>
      <c r="E88" s="12"/>
      <c r="F88" s="43"/>
    </row>
    <row r="89" spans="1:6" ht="20" customHeight="1" x14ac:dyDescent="0.2">
      <c r="A89" s="7">
        <v>87</v>
      </c>
      <c r="B89" s="43" t="s">
        <v>65</v>
      </c>
      <c r="C89" s="2">
        <v>917427513</v>
      </c>
      <c r="D89" s="42" t="s">
        <v>157</v>
      </c>
      <c r="E89" s="11">
        <v>25214</v>
      </c>
      <c r="F89" s="49"/>
    </row>
    <row r="90" spans="1:6" ht="20" customHeight="1" x14ac:dyDescent="0.2">
      <c r="A90" s="19">
        <v>88</v>
      </c>
      <c r="B90" s="43" t="s">
        <v>66</v>
      </c>
      <c r="C90" s="2">
        <v>938604400</v>
      </c>
      <c r="D90" s="41"/>
      <c r="E90" s="11">
        <v>17248</v>
      </c>
      <c r="F90" s="42" t="s">
        <v>290</v>
      </c>
    </row>
    <row r="91" spans="1:6" ht="20" customHeight="1" x14ac:dyDescent="0.2">
      <c r="A91" s="7">
        <v>89</v>
      </c>
      <c r="B91" s="43" t="s">
        <v>67</v>
      </c>
      <c r="C91" s="2">
        <v>935898595</v>
      </c>
      <c r="D91" s="42" t="s">
        <v>186</v>
      </c>
      <c r="E91" s="32"/>
      <c r="F91" s="42" t="s">
        <v>291</v>
      </c>
    </row>
    <row r="92" spans="1:6" ht="20" customHeight="1" x14ac:dyDescent="0.2">
      <c r="A92" s="19">
        <v>90</v>
      </c>
      <c r="B92" s="43" t="s">
        <v>159</v>
      </c>
      <c r="C92" s="38">
        <v>969468188</v>
      </c>
      <c r="D92" s="42" t="s">
        <v>160</v>
      </c>
      <c r="E92" s="11">
        <v>19455</v>
      </c>
      <c r="F92" s="42" t="s">
        <v>292</v>
      </c>
    </row>
    <row r="93" spans="1:6" ht="20" customHeight="1" x14ac:dyDescent="0.2">
      <c r="A93" s="7">
        <v>91</v>
      </c>
      <c r="B93" s="43" t="s">
        <v>68</v>
      </c>
      <c r="C93" s="2">
        <v>968993111</v>
      </c>
      <c r="D93" s="41"/>
      <c r="E93" s="36">
        <v>28532</v>
      </c>
      <c r="F93" s="36"/>
    </row>
    <row r="94" spans="1:6" ht="20" customHeight="1" x14ac:dyDescent="0.2">
      <c r="A94" s="19">
        <v>92</v>
      </c>
      <c r="B94" s="43" t="s">
        <v>161</v>
      </c>
      <c r="C94" s="2">
        <v>964355979</v>
      </c>
      <c r="D94" s="41"/>
      <c r="E94" s="9">
        <v>13108</v>
      </c>
      <c r="F94" s="41"/>
    </row>
    <row r="95" spans="1:6" ht="20" customHeight="1" x14ac:dyDescent="0.2">
      <c r="A95" s="7">
        <v>93</v>
      </c>
      <c r="B95" s="43" t="s">
        <v>69</v>
      </c>
      <c r="C95" s="2">
        <v>916864272</v>
      </c>
      <c r="D95" s="41"/>
      <c r="E95" s="9">
        <v>15924</v>
      </c>
      <c r="F95" s="41"/>
    </row>
    <row r="96" spans="1:6" ht="20" customHeight="1" x14ac:dyDescent="0.2">
      <c r="A96" s="19">
        <v>94</v>
      </c>
      <c r="B96" s="43" t="s">
        <v>162</v>
      </c>
      <c r="C96" s="38">
        <v>962426894</v>
      </c>
      <c r="D96" s="42" t="s">
        <v>163</v>
      </c>
      <c r="E96" s="10" t="s">
        <v>228</v>
      </c>
      <c r="F96" s="42" t="s">
        <v>293</v>
      </c>
    </row>
    <row r="97" spans="1:6" ht="20" customHeight="1" x14ac:dyDescent="0.2">
      <c r="A97" s="7">
        <v>95</v>
      </c>
      <c r="B97" s="43" t="s">
        <v>70</v>
      </c>
      <c r="C97" s="3">
        <v>963731073</v>
      </c>
      <c r="D97" s="42" t="s">
        <v>143</v>
      </c>
      <c r="E97" s="32">
        <v>21478</v>
      </c>
      <c r="F97" s="42"/>
    </row>
    <row r="98" spans="1:6" s="27" customFormat="1" ht="20" customHeight="1" x14ac:dyDescent="0.2">
      <c r="A98" s="19">
        <v>96</v>
      </c>
      <c r="B98" s="43" t="s">
        <v>199</v>
      </c>
      <c r="C98" s="5">
        <v>933232686</v>
      </c>
      <c r="D98" s="43" t="s">
        <v>200</v>
      </c>
      <c r="E98" s="12"/>
      <c r="F98" s="43"/>
    </row>
    <row r="99" spans="1:6" ht="20" customHeight="1" x14ac:dyDescent="0.2">
      <c r="A99" s="7">
        <v>97</v>
      </c>
      <c r="B99" s="43" t="s">
        <v>71</v>
      </c>
      <c r="C99" s="3">
        <v>917605153</v>
      </c>
      <c r="D99" s="42" t="s">
        <v>144</v>
      </c>
      <c r="E99" s="11" t="s">
        <v>249</v>
      </c>
      <c r="F99" s="42" t="s">
        <v>294</v>
      </c>
    </row>
    <row r="100" spans="1:6" ht="20" customHeight="1" x14ac:dyDescent="0.2">
      <c r="A100" s="19">
        <v>98</v>
      </c>
      <c r="B100" s="43" t="s">
        <v>72</v>
      </c>
      <c r="C100" s="3">
        <v>914820070</v>
      </c>
      <c r="D100" s="42" t="s">
        <v>145</v>
      </c>
      <c r="E100" s="11">
        <v>16831</v>
      </c>
      <c r="F100" s="49"/>
    </row>
    <row r="101" spans="1:6" ht="20" customHeight="1" x14ac:dyDescent="0.2">
      <c r="A101" s="7">
        <v>99</v>
      </c>
      <c r="B101" s="43" t="s">
        <v>73</v>
      </c>
      <c r="C101" s="3">
        <v>969041114</v>
      </c>
      <c r="D101" s="42" t="s">
        <v>146</v>
      </c>
      <c r="E101" s="11">
        <v>21269</v>
      </c>
      <c r="F101" s="42" t="s">
        <v>295</v>
      </c>
    </row>
    <row r="102" spans="1:6" ht="20" customHeight="1" x14ac:dyDescent="0.2">
      <c r="A102" s="19">
        <v>100</v>
      </c>
      <c r="B102" s="43" t="s">
        <v>74</v>
      </c>
      <c r="C102" s="2">
        <v>933232810</v>
      </c>
      <c r="D102" s="41" t="s">
        <v>350</v>
      </c>
      <c r="E102" s="9">
        <v>17381</v>
      </c>
      <c r="F102" s="42" t="s">
        <v>296</v>
      </c>
    </row>
    <row r="103" spans="1:6" ht="20" customHeight="1" x14ac:dyDescent="0.2">
      <c r="A103" s="19">
        <v>102</v>
      </c>
      <c r="B103" s="43" t="s">
        <v>76</v>
      </c>
      <c r="C103" s="38">
        <v>962544544</v>
      </c>
      <c r="D103" s="42" t="s">
        <v>107</v>
      </c>
      <c r="E103" s="10" t="s">
        <v>234</v>
      </c>
      <c r="F103" s="42" t="s">
        <v>297</v>
      </c>
    </row>
    <row r="104" spans="1:6" ht="20" customHeight="1" x14ac:dyDescent="0.2">
      <c r="A104" s="7">
        <v>103</v>
      </c>
      <c r="B104" s="43" t="s">
        <v>77</v>
      </c>
      <c r="C104" s="38">
        <v>934842815</v>
      </c>
      <c r="D104" s="42" t="s">
        <v>164</v>
      </c>
      <c r="E104" s="10" t="s">
        <v>244</v>
      </c>
      <c r="F104" s="42" t="s">
        <v>298</v>
      </c>
    </row>
    <row r="105" spans="1:6" s="27" customFormat="1" ht="20" customHeight="1" x14ac:dyDescent="0.2">
      <c r="A105" s="19">
        <v>104</v>
      </c>
      <c r="B105" s="47" t="s">
        <v>327</v>
      </c>
      <c r="C105" s="3">
        <v>932930357</v>
      </c>
      <c r="D105" s="40" t="s">
        <v>343</v>
      </c>
      <c r="E105" s="11">
        <v>27370</v>
      </c>
      <c r="F105" s="43"/>
    </row>
    <row r="106" spans="1:6" s="27" customFormat="1" ht="20" customHeight="1" x14ac:dyDescent="0.2">
      <c r="A106" s="7">
        <v>105</v>
      </c>
      <c r="B106" s="47" t="s">
        <v>326</v>
      </c>
      <c r="C106" s="3">
        <v>969448934</v>
      </c>
      <c r="D106" s="40" t="s">
        <v>344</v>
      </c>
      <c r="E106" s="11">
        <v>24166</v>
      </c>
      <c r="F106" s="43"/>
    </row>
    <row r="107" spans="1:6" ht="20" customHeight="1" x14ac:dyDescent="0.2">
      <c r="A107" s="19">
        <v>106</v>
      </c>
      <c r="B107" s="43" t="s">
        <v>78</v>
      </c>
      <c r="C107" s="2">
        <v>967835745</v>
      </c>
      <c r="D107" s="42" t="s">
        <v>165</v>
      </c>
      <c r="E107" s="10" t="s">
        <v>235</v>
      </c>
      <c r="F107" s="42" t="s">
        <v>299</v>
      </c>
    </row>
    <row r="108" spans="1:6" ht="20" customHeight="1" x14ac:dyDescent="0.2">
      <c r="A108" s="7">
        <v>107</v>
      </c>
      <c r="B108" s="43" t="s">
        <v>79</v>
      </c>
      <c r="C108" s="38">
        <v>967835745</v>
      </c>
      <c r="D108" s="42" t="s">
        <v>350</v>
      </c>
      <c r="E108" s="10" t="s">
        <v>243</v>
      </c>
      <c r="F108" s="42" t="s">
        <v>300</v>
      </c>
    </row>
    <row r="109" spans="1:6" s="27" customFormat="1" ht="20" customHeight="1" x14ac:dyDescent="0.2">
      <c r="A109" s="19">
        <v>108</v>
      </c>
      <c r="B109" s="43" t="s">
        <v>80</v>
      </c>
      <c r="C109" s="2">
        <v>962720763</v>
      </c>
      <c r="D109" s="43" t="s">
        <v>187</v>
      </c>
      <c r="E109" s="12"/>
      <c r="F109" s="43"/>
    </row>
    <row r="110" spans="1:6" s="27" customFormat="1" ht="20" customHeight="1" x14ac:dyDescent="0.2">
      <c r="A110" s="7">
        <v>109</v>
      </c>
      <c r="B110" s="43" t="s">
        <v>324</v>
      </c>
      <c r="C110" s="2">
        <v>913792803</v>
      </c>
      <c r="D110" s="43" t="s">
        <v>208</v>
      </c>
      <c r="E110" s="12">
        <v>28691</v>
      </c>
      <c r="F110" s="43"/>
    </row>
    <row r="111" spans="1:6" s="27" customFormat="1" ht="20" customHeight="1" x14ac:dyDescent="0.2">
      <c r="A111" s="19">
        <v>110</v>
      </c>
      <c r="B111" s="43" t="s">
        <v>81</v>
      </c>
      <c r="C111" s="2">
        <v>963330510</v>
      </c>
      <c r="D111" s="41" t="s">
        <v>365</v>
      </c>
      <c r="E111" s="9">
        <v>29501</v>
      </c>
      <c r="F111" s="41"/>
    </row>
    <row r="112" spans="1:6" ht="20" customHeight="1" x14ac:dyDescent="0.2">
      <c r="A112" s="7">
        <v>111</v>
      </c>
      <c r="B112" s="43" t="s">
        <v>82</v>
      </c>
      <c r="C112" s="38">
        <v>924261503</v>
      </c>
      <c r="D112" s="42" t="s">
        <v>166</v>
      </c>
      <c r="E112" s="11">
        <v>32899</v>
      </c>
      <c r="F112" s="42" t="s">
        <v>301</v>
      </c>
    </row>
    <row r="113" spans="1:6" ht="20" customHeight="1" x14ac:dyDescent="0.2">
      <c r="A113" s="19">
        <v>112</v>
      </c>
      <c r="B113" s="43" t="s">
        <v>83</v>
      </c>
      <c r="C113" s="2">
        <v>933476460</v>
      </c>
      <c r="D113" s="41"/>
      <c r="E113" s="37">
        <v>33289</v>
      </c>
      <c r="F113" s="37"/>
    </row>
    <row r="114" spans="1:6" ht="20" customHeight="1" x14ac:dyDescent="0.2">
      <c r="A114" s="7">
        <v>113</v>
      </c>
      <c r="B114" s="43" t="s">
        <v>84</v>
      </c>
      <c r="C114" s="38">
        <v>964389194</v>
      </c>
      <c r="D114" s="42" t="s">
        <v>167</v>
      </c>
      <c r="E114" s="10" t="s">
        <v>229</v>
      </c>
      <c r="F114" s="46"/>
    </row>
    <row r="115" spans="1:6" ht="20" customHeight="1" x14ac:dyDescent="0.2">
      <c r="A115" s="19">
        <v>114</v>
      </c>
      <c r="B115" s="43" t="s">
        <v>225</v>
      </c>
      <c r="C115" s="2"/>
      <c r="D115" s="41"/>
      <c r="E115" s="10">
        <v>12243</v>
      </c>
      <c r="F115" s="53"/>
    </row>
    <row r="116" spans="1:6" ht="20" customHeight="1" x14ac:dyDescent="0.2">
      <c r="A116" s="7">
        <v>115</v>
      </c>
      <c r="B116" s="43" t="s">
        <v>85</v>
      </c>
      <c r="C116" s="2">
        <v>965602747</v>
      </c>
      <c r="D116" s="41"/>
      <c r="E116" s="11">
        <v>28866</v>
      </c>
      <c r="F116" s="49"/>
    </row>
    <row r="117" spans="1:6" ht="20" customHeight="1" x14ac:dyDescent="0.2">
      <c r="A117" s="19">
        <v>116</v>
      </c>
      <c r="B117" s="43" t="s">
        <v>86</v>
      </c>
      <c r="C117" s="2">
        <v>964061478</v>
      </c>
      <c r="D117" s="41" t="s">
        <v>350</v>
      </c>
      <c r="E117" s="11" t="s">
        <v>216</v>
      </c>
      <c r="F117" s="50"/>
    </row>
    <row r="118" spans="1:6" ht="20" customHeight="1" x14ac:dyDescent="0.2">
      <c r="A118" s="7">
        <v>117</v>
      </c>
      <c r="B118" s="43" t="s">
        <v>87</v>
      </c>
      <c r="C118" s="2">
        <v>967031599</v>
      </c>
      <c r="D118" s="41"/>
      <c r="E118" s="11">
        <v>17549</v>
      </c>
      <c r="F118" s="49" t="s">
        <v>314</v>
      </c>
    </row>
    <row r="119" spans="1:6" s="27" customFormat="1" ht="20" customHeight="1" x14ac:dyDescent="0.2">
      <c r="A119" s="19">
        <v>118</v>
      </c>
      <c r="B119" s="43" t="s">
        <v>88</v>
      </c>
      <c r="C119" s="3">
        <v>965410964</v>
      </c>
      <c r="D119" s="43" t="s">
        <v>168</v>
      </c>
      <c r="E119" s="11">
        <v>29059</v>
      </c>
      <c r="F119" s="43" t="s">
        <v>302</v>
      </c>
    </row>
    <row r="120" spans="1:6" s="27" customFormat="1" ht="20" customHeight="1" x14ac:dyDescent="0.2">
      <c r="A120" s="7">
        <v>119</v>
      </c>
      <c r="B120" s="43" t="s">
        <v>89</v>
      </c>
      <c r="C120" s="3">
        <v>967060746</v>
      </c>
      <c r="D120" s="43" t="s">
        <v>169</v>
      </c>
      <c r="E120" s="11" t="s">
        <v>226</v>
      </c>
      <c r="F120" s="50"/>
    </row>
    <row r="121" spans="1:6" s="27" customFormat="1" ht="20" customHeight="1" x14ac:dyDescent="0.2">
      <c r="A121" s="19">
        <v>120</v>
      </c>
      <c r="B121" s="43" t="s">
        <v>363</v>
      </c>
      <c r="C121" s="29">
        <v>932529800</v>
      </c>
      <c r="D121" s="43" t="s">
        <v>170</v>
      </c>
      <c r="E121" s="11" t="s">
        <v>227</v>
      </c>
      <c r="F121" s="50"/>
    </row>
    <row r="122" spans="1:6" s="27" customFormat="1" ht="20" customHeight="1" x14ac:dyDescent="0.2">
      <c r="A122" s="7">
        <v>121</v>
      </c>
      <c r="B122" s="43" t="s">
        <v>319</v>
      </c>
      <c r="C122" s="29">
        <v>919783014</v>
      </c>
      <c r="D122" s="43" t="s">
        <v>209</v>
      </c>
      <c r="E122" s="12">
        <v>25214</v>
      </c>
      <c r="F122" s="43"/>
    </row>
    <row r="123" spans="1:6" s="27" customFormat="1" ht="20" customHeight="1" x14ac:dyDescent="0.2">
      <c r="A123" s="19">
        <v>122</v>
      </c>
      <c r="B123" s="43" t="s">
        <v>337</v>
      </c>
      <c r="C123" s="29">
        <v>915498051</v>
      </c>
      <c r="D123" s="40" t="s">
        <v>338</v>
      </c>
      <c r="E123" s="11">
        <v>28859</v>
      </c>
      <c r="F123" s="50"/>
    </row>
    <row r="124" spans="1:6" s="27" customFormat="1" ht="20" customHeight="1" x14ac:dyDescent="0.2">
      <c r="A124" s="7">
        <v>123</v>
      </c>
      <c r="B124" s="43" t="s">
        <v>341</v>
      </c>
      <c r="C124" s="2">
        <v>915094576</v>
      </c>
      <c r="D124" s="40" t="s">
        <v>342</v>
      </c>
      <c r="E124" s="11">
        <v>27978</v>
      </c>
      <c r="F124" s="49"/>
    </row>
    <row r="125" spans="1:6" s="27" customFormat="1" ht="20" customHeight="1" x14ac:dyDescent="0.2">
      <c r="A125" s="19">
        <v>124</v>
      </c>
      <c r="B125" s="43" t="s">
        <v>201</v>
      </c>
      <c r="C125" s="2" t="s">
        <v>188</v>
      </c>
      <c r="D125" s="41" t="s">
        <v>189</v>
      </c>
      <c r="E125" s="9"/>
      <c r="F125" s="41"/>
    </row>
    <row r="126" spans="1:6" s="27" customFormat="1" ht="20" customHeight="1" x14ac:dyDescent="0.2">
      <c r="A126" s="7">
        <v>125</v>
      </c>
      <c r="B126" s="43" t="s">
        <v>304</v>
      </c>
      <c r="C126" s="29">
        <v>912920575</v>
      </c>
      <c r="D126" s="33" t="s">
        <v>321</v>
      </c>
      <c r="E126" s="12">
        <v>35661</v>
      </c>
      <c r="F126" s="43" t="s">
        <v>305</v>
      </c>
    </row>
    <row r="127" spans="1:6" s="27" customFormat="1" ht="20" customHeight="1" x14ac:dyDescent="0.2">
      <c r="A127" s="19">
        <v>126</v>
      </c>
      <c r="B127" s="43" t="s">
        <v>90</v>
      </c>
      <c r="C127" s="3">
        <v>966584913</v>
      </c>
      <c r="D127" s="43" t="s">
        <v>171</v>
      </c>
      <c r="E127" s="11">
        <v>29093</v>
      </c>
      <c r="F127" s="43" t="s">
        <v>303</v>
      </c>
    </row>
    <row r="128" spans="1:6" s="27" customFormat="1" ht="20" customHeight="1" x14ac:dyDescent="0.2">
      <c r="A128" s="7">
        <v>127</v>
      </c>
      <c r="B128" s="43" t="s">
        <v>91</v>
      </c>
      <c r="C128" s="2">
        <v>966857340</v>
      </c>
      <c r="D128" s="41" t="s">
        <v>350</v>
      </c>
      <c r="E128" s="11" t="s">
        <v>238</v>
      </c>
      <c r="F128" s="50"/>
    </row>
    <row r="129" spans="1:6" s="27" customFormat="1" ht="20" customHeight="1" x14ac:dyDescent="0.2">
      <c r="A129" s="19">
        <v>128</v>
      </c>
      <c r="B129" s="43" t="s">
        <v>92</v>
      </c>
      <c r="C129" s="2">
        <v>968439848</v>
      </c>
      <c r="D129" s="41" t="s">
        <v>350</v>
      </c>
      <c r="E129" s="11" t="s">
        <v>218</v>
      </c>
      <c r="F129" s="54" t="s">
        <v>306</v>
      </c>
    </row>
    <row r="130" spans="1:6" s="27" customFormat="1" ht="20" customHeight="1" x14ac:dyDescent="0.2">
      <c r="A130" s="7">
        <v>129</v>
      </c>
      <c r="B130" s="43" t="s">
        <v>93</v>
      </c>
      <c r="C130" s="3">
        <v>913328645</v>
      </c>
      <c r="D130" s="43" t="s">
        <v>172</v>
      </c>
      <c r="E130" s="11">
        <v>28494</v>
      </c>
      <c r="F130" s="54" t="s">
        <v>307</v>
      </c>
    </row>
    <row r="131" spans="1:6" s="27" customFormat="1" ht="20" customHeight="1" x14ac:dyDescent="0.2">
      <c r="A131" s="19">
        <v>130</v>
      </c>
      <c r="B131" s="43" t="s">
        <v>251</v>
      </c>
      <c r="C131" s="3" t="s">
        <v>189</v>
      </c>
      <c r="D131" s="33" t="s">
        <v>320</v>
      </c>
      <c r="E131" s="11">
        <v>36137</v>
      </c>
      <c r="F131" s="49"/>
    </row>
    <row r="132" spans="1:6" s="27" customFormat="1" ht="20" customHeight="1" x14ac:dyDescent="0.2">
      <c r="A132" s="7">
        <v>131</v>
      </c>
      <c r="B132" s="43" t="s">
        <v>94</v>
      </c>
      <c r="C132" s="2">
        <v>967486563</v>
      </c>
      <c r="D132" s="41"/>
      <c r="E132" s="37">
        <v>27806</v>
      </c>
      <c r="F132" s="54" t="s">
        <v>308</v>
      </c>
    </row>
    <row r="133" spans="1:6" s="27" customFormat="1" ht="20" customHeight="1" x14ac:dyDescent="0.2">
      <c r="A133" s="19">
        <v>132</v>
      </c>
      <c r="B133" s="43" t="s">
        <v>95</v>
      </c>
      <c r="C133" s="3">
        <v>969903340</v>
      </c>
      <c r="D133" s="43" t="s">
        <v>173</v>
      </c>
      <c r="E133" s="11">
        <v>26973</v>
      </c>
      <c r="F133" s="49"/>
    </row>
    <row r="134" spans="1:6" s="27" customFormat="1" ht="20" customHeight="1" x14ac:dyDescent="0.2">
      <c r="A134" s="7">
        <v>133</v>
      </c>
      <c r="B134" s="43" t="s">
        <v>204</v>
      </c>
      <c r="C134" s="3">
        <v>918139017</v>
      </c>
      <c r="D134" s="43" t="s">
        <v>205</v>
      </c>
      <c r="E134" s="12">
        <v>25118</v>
      </c>
      <c r="F134" s="43"/>
    </row>
    <row r="135" spans="1:6" s="27" customFormat="1" ht="20" customHeight="1" x14ac:dyDescent="0.2">
      <c r="A135" s="19">
        <v>134</v>
      </c>
      <c r="B135" s="43" t="s">
        <v>202</v>
      </c>
      <c r="C135" s="2">
        <v>961799309</v>
      </c>
      <c r="D135" s="43" t="s">
        <v>203</v>
      </c>
      <c r="E135" s="12"/>
      <c r="F135" s="43"/>
    </row>
    <row r="136" spans="1:6" s="27" customFormat="1" ht="20" customHeight="1" x14ac:dyDescent="0.2">
      <c r="A136" s="7">
        <v>135</v>
      </c>
      <c r="B136" s="43" t="s">
        <v>348</v>
      </c>
      <c r="C136" s="2">
        <v>919270630</v>
      </c>
      <c r="D136" s="40" t="s">
        <v>349</v>
      </c>
      <c r="E136" s="12">
        <v>24209</v>
      </c>
      <c r="F136" s="43"/>
    </row>
    <row r="137" spans="1:6" s="27" customFormat="1" ht="20" customHeight="1" x14ac:dyDescent="0.2">
      <c r="A137" s="7">
        <v>137</v>
      </c>
      <c r="B137" s="43" t="s">
        <v>97</v>
      </c>
      <c r="C137" s="2">
        <v>912690959</v>
      </c>
      <c r="D137" s="43" t="s">
        <v>206</v>
      </c>
      <c r="E137" s="12">
        <v>28004</v>
      </c>
      <c r="F137" s="54" t="s">
        <v>309</v>
      </c>
    </row>
    <row r="138" spans="1:6" s="27" customFormat="1" ht="20" customHeight="1" x14ac:dyDescent="0.2">
      <c r="A138" s="19">
        <v>138</v>
      </c>
      <c r="B138" s="43" t="s">
        <v>98</v>
      </c>
      <c r="C138" s="3">
        <v>919227991</v>
      </c>
      <c r="D138" s="43" t="s">
        <v>174</v>
      </c>
      <c r="E138" s="11" t="s">
        <v>242</v>
      </c>
      <c r="F138" s="54" t="s">
        <v>310</v>
      </c>
    </row>
    <row r="139" spans="1:6" s="27" customFormat="1" ht="20" customHeight="1" x14ac:dyDescent="0.2">
      <c r="A139" s="7">
        <v>139</v>
      </c>
      <c r="B139" s="43" t="s">
        <v>99</v>
      </c>
      <c r="C139" s="3">
        <v>919518077</v>
      </c>
      <c r="D139" s="39" t="s">
        <v>175</v>
      </c>
      <c r="E139" s="11">
        <v>14898</v>
      </c>
      <c r="F139" s="54" t="s">
        <v>311</v>
      </c>
    </row>
    <row r="140" spans="1:6" x14ac:dyDescent="0.2">
      <c r="A140" s="27"/>
      <c r="B140" s="27"/>
      <c r="C140" s="30"/>
      <c r="D140" s="31"/>
      <c r="E140" s="31"/>
      <c r="F140" s="55"/>
    </row>
  </sheetData>
  <sortState xmlns:xlrd2="http://schemas.microsoft.com/office/spreadsheetml/2017/richdata2" ref="B4:F138">
    <sortCondition ref="B3"/>
  </sortState>
  <hyperlinks>
    <hyperlink ref="D3" r:id="rId1" display="mailto:abraaott@gmail.com" xr:uid="{00000000-0004-0000-0100-000000000000}"/>
    <hyperlink ref="C121" r:id="rId2" display="callto:932 529 800" xr:uid="{00000000-0004-0000-0100-000001000000}"/>
    <hyperlink ref="D123" r:id="rId3" xr:uid="{00000000-0004-0000-0100-000002000000}"/>
    <hyperlink ref="D62" r:id="rId4" xr:uid="{00000000-0004-0000-0100-000003000000}"/>
    <hyperlink ref="D124" r:id="rId5" xr:uid="{00000000-0004-0000-0100-000004000000}"/>
    <hyperlink ref="D105" r:id="rId6" xr:uid="{00000000-0004-0000-0100-000005000000}"/>
    <hyperlink ref="D106" r:id="rId7" xr:uid="{00000000-0004-0000-0100-000006000000}"/>
    <hyperlink ref="D18" r:id="rId8" xr:uid="{00000000-0004-0000-0100-000007000000}"/>
    <hyperlink ref="D136" r:id="rId9" xr:uid="{00000000-0004-0000-0100-000008000000}"/>
    <hyperlink ref="D9" r:id="rId10" xr:uid="{00000000-0004-0000-0100-000009000000}"/>
    <hyperlink ref="D81" r:id="rId11" xr:uid="{00000000-0004-0000-0100-00000A000000}"/>
  </hyperlinks>
  <pageMargins left="0.7" right="0.7" top="0.75" bottom="0.75" header="0.3" footer="0.3"/>
  <pageSetup paperSize="9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Base Dados Sócios Efetivos </vt:lpstr>
      <vt:lpstr>Sheet1</vt:lpstr>
      <vt:lpstr> Sócios Efetivos Social </vt:lpstr>
      <vt:lpstr>' Sócios Efetivos Social 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Dulce</dc:creator>
  <cp:lastModifiedBy>Rui Ferrolho</cp:lastModifiedBy>
  <cp:lastPrinted>2026-06-14T22:07:46Z</cp:lastPrinted>
  <dcterms:created xsi:type="dcterms:W3CDTF">2026-01-22T16:42:09Z</dcterms:created>
  <dcterms:modified xsi:type="dcterms:W3CDTF">2026-06-14T22:12:28Z</dcterms:modified>
</cp:coreProperties>
</file>